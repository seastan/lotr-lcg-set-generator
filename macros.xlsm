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CardNumber">'Card Data'!$C:$C</definedName>
    <definedName name="GameGUID">Sets!$A$1</definedName>
    <definedName name="GameVersion">Sets!$C$1</definedName>
    <definedName name="Set">'Card Data'!$A:$A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I3" i="7" l="1"/>
  <c r="AH3" i="7"/>
  <c r="AG3" i="7"/>
  <c r="AF3" i="7"/>
  <c r="AE3" i="7"/>
  <c r="AD3" i="7"/>
  <c r="AC3" i="7"/>
  <c r="AB3" i="7"/>
  <c r="AA3" i="7"/>
  <c r="Z3" i="7"/>
  <c r="Y3" i="7"/>
  <c r="W3" i="7"/>
  <c r="V3" i="7"/>
  <c r="U3" i="7"/>
  <c r="T3" i="7"/>
  <c r="S3" i="7"/>
  <c r="Q3" i="7"/>
  <c r="P3" i="7"/>
  <c r="O3" i="7"/>
  <c r="N3" i="7"/>
  <c r="M3" i="7"/>
  <c r="L3" i="7"/>
  <c r="K3" i="7"/>
  <c r="I3" i="7"/>
  <c r="H3" i="7" s="1"/>
  <c r="G3" i="7"/>
  <c r="F3" i="7"/>
  <c r="E3" i="7"/>
</calcChain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<sst xmlns="http://schemas.openxmlformats.org/spreadsheetml/2006/main" count="91" uniqueCount="68">
  <si>
    <t>version</t>
  </si>
  <si>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</si>
  <si>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</si>
  <si>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</si>
  <si>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</si>
  <si>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</si>
  <si>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</si>
  <si>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</si>
  <si>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</si>
  <si>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</si>
  <si>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</si>
  <si>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</si>
  <si>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</si>
  <si>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</si>
  <si>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</si>
  <si>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</si>
  <si>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</si>
  <si>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</si>
  <si>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</si>
  <si>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</si>
  <si>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Hero</t>
  </si>
  <si>
    <t>Leadership</t>
  </si>
  <si>
    <t>Lore</t>
  </si>
  <si>
    <t>Attachment</t>
  </si>
  <si>
    <t>Enemy</t>
  </si>
  <si>
    <t>Location</t>
  </si>
  <si>
    <t>Quest</t>
  </si>
  <si>
    <t>Set</t>
  </si>
  <si>
    <t>Name</t>
  </si>
  <si>
    <t>Side B</t>
  </si>
  <si>
    <t>Card Number</t>
  </si>
  <si>
    <t>2.3.6.0</t>
  </si>
  <si>
    <t>1.0</t>
  </si>
  <si>
    <t>Set GUID</t>
  </si>
  <si>
    <t>Set name</t>
  </si>
  <si>
    <t>Lord of the Rings</t>
  </si>
  <si>
    <t>Trait (Heroes)</t>
  </si>
  <si>
    <t>Dwarf</t>
  </si>
  <si>
    <t>Gondor</t>
  </si>
  <si>
    <t>Rohan</t>
  </si>
  <si>
    <t>Silvan</t>
  </si>
  <si>
    <t>Hobbit</t>
  </si>
  <si>
    <t>Outlands</t>
  </si>
  <si>
    <t>Noldor</t>
  </si>
  <si>
    <t>Eagle</t>
  </si>
  <si>
    <t>Ranger</t>
  </si>
  <si>
    <t>Noble</t>
  </si>
  <si>
    <t>Song</t>
  </si>
  <si>
    <t>Treachery</t>
  </si>
  <si>
    <t>Ally</t>
  </si>
  <si>
    <t>Event</t>
  </si>
  <si>
    <t>Spirit</t>
  </si>
  <si>
    <t>Tactics</t>
  </si>
  <si>
    <t>Neutral</t>
  </si>
  <si>
    <t>TOTAL CARDS</t>
  </si>
  <si>
    <t>Player Cards</t>
  </si>
  <si>
    <t>Encounter Cards</t>
  </si>
  <si>
    <t>Hero Cards</t>
  </si>
  <si>
    <t>Card Counts (with quantities)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</si>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</sst>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rgb="FFFFC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1" fillId="0" borderId="0"/>
    <xf numFmtId="0" fontId="12" fillId="0" borderId="0"/>
  </cellStyleXfs>
  <cellXfs count="31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4" fillId="2" borderId="2" xfId="0" applyFont="1" applyFill="1" applyBorder="1"/>
    <xf numFmtId="0" fontId="5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9" fillId="0" borderId="6" xfId="0" applyFont="1" applyBorder="1"/>
    <xf numFmtId="0" fontId="10" fillId="2" borderId="0" xfId="0" applyFont="1" applyFill="1" applyAlignment="1">
      <alignment horizontal="left" wrapText="1"/>
    </xf>
    <xf numFmtId="0" fontId="10" fillId="2" borderId="0" xfId="0" applyFont="1" applyFill="1" applyAlignment="1">
      <alignment horizontal="left" textRotation="180" wrapText="1"/>
    </xf>
    <xf numFmtId="0" fontId="10" fillId="2" borderId="1" xfId="0" applyFont="1" applyFill="1" applyBorder="1" applyAlignment="1">
      <alignment horizontal="left" textRotation="180" wrapText="1"/>
    </xf>
    <xf numFmtId="0" fontId="10" fillId="10" borderId="0" xfId="0" applyFont="1" applyFill="1" applyAlignment="1">
      <alignment horizontal="left" wrapText="1"/>
    </xf>
    <xf numFmtId="0" fontId="10" fillId="10" borderId="0" xfId="0" applyFont="1" applyFill="1" applyAlignment="1">
      <alignment horizontal="left" textRotation="180" wrapText="1"/>
    </xf>
    <xf numFmtId="0" fontId="10" fillId="10" borderId="1" xfId="0" applyFont="1" applyFill="1" applyBorder="1" applyAlignment="1">
      <alignment horizontal="left" textRotation="180" wrapText="1"/>
    </xf>
    <xf numFmtId="0" fontId="14" fillId="2" borderId="0" xfId="0" applyFont="1" applyFill="1" applyAlignment="1">
      <alignment horizontal="left" wrapText="1"/>
    </xf>
    <xf numFmtId="0" fontId="7" fillId="0" borderId="0" xfId="0" applyFont="1" applyAlignment="1">
      <alignment horizontal="left" wrapText="1"/>
    </xf>
    <xf numFmtId="0" fontId="8" fillId="0" borderId="0" xfId="0" applyFont="1" applyAlignment="1">
      <alignment horizontal="left" wrapText="1"/>
    </xf>
    <xf numFmtId="0" fontId="8" fillId="3" borderId="1" xfId="0" applyFont="1" applyFill="1" applyBorder="1" applyAlignment="1">
      <alignment horizontal="left" wrapText="1"/>
    </xf>
    <xf numFmtId="0" fontId="8" fillId="4" borderId="1" xfId="0" applyFont="1" applyFill="1" applyBorder="1" applyAlignment="1">
      <alignment horizontal="left" wrapText="1"/>
    </xf>
    <xf numFmtId="0" fontId="8" fillId="5" borderId="1" xfId="0" applyFont="1" applyFill="1" applyBorder="1" applyAlignment="1">
      <alignment horizontal="left" wrapText="1"/>
    </xf>
    <xf numFmtId="0" fontId="8" fillId="6" borderId="1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8" borderId="1" xfId="0" applyFont="1" applyFill="1" applyBorder="1" applyAlignment="1">
      <alignment horizontal="left" wrapText="1"/>
    </xf>
    <xf numFmtId="0" fontId="8" fillId="9" borderId="1" xfId="0" applyFont="1" applyFill="1" applyBorder="1" applyAlignment="1">
      <alignment horizontal="left" wrapText="1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59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3.69140625" customWidth="1"/>
    <col min="5" max="5" width="10.84375" bestFit="1" customWidth="1"/>
    <col min="6" max="6" width="10.84375" customWidth="1"/>
    <col min="7" max="7" width="9.69140625" bestFit="1" customWidth="1"/>
    <col min="8" max="8" width="12.3046875" bestFit="1" customWidth="1"/>
    <col min="10" max="10" width="3.15234375" customWidth="1"/>
    <col min="18" max="18" width="3.15234375" customWidth="1"/>
    <col min="24" max="24" width="2.53515625" customWidth="1"/>
  </cols>
  <sheetData>
    <row r="1" spans="1:35">
      <c r="A1" s="1" t="s">
        <v>1</v>
      </c>
      <c r="B1" s="2" t="s">
        <v>35</v>
      </c>
      <c r="C1" s="3" t="s">
        <v>31</v>
      </c>
      <c r="E1" s="28" t="s">
        <v>58</v>
      </c>
      <c r="F1" s="29"/>
      <c r="G1" s="29"/>
      <c r="H1" s="29"/>
      <c r="I1" s="30"/>
      <c r="J1" s="9"/>
      <c r="K1" s="27" t="s">
        <v>2</v>
      </c>
      <c r="L1" s="27"/>
      <c r="M1" s="27"/>
      <c r="N1" s="27"/>
      <c r="O1" s="27"/>
      <c r="P1" s="27"/>
      <c r="Q1" s="27"/>
      <c r="R1" s="6"/>
      <c r="S1" s="27" t="s">
        <v>3</v>
      </c>
      <c r="T1" s="27"/>
      <c r="U1" s="27"/>
      <c r="V1" s="27"/>
      <c r="W1" s="27"/>
      <c r="X1" s="6"/>
      <c r="Y1" s="27" t="s">
        <v>36</v>
      </c>
      <c r="Z1" s="27"/>
      <c r="AA1" s="27"/>
      <c r="AB1" s="27"/>
      <c r="AC1" s="27"/>
      <c r="AD1" s="27"/>
      <c r="AE1" s="27"/>
      <c r="AF1" s="27"/>
      <c r="AG1" s="27"/>
      <c r="AH1" s="27"/>
      <c r="AI1" s="27"/>
    </row>
    <row r="2" spans="1:35" ht="15" thickBot="1">
      <c r="A2" s="5" t="s">
        <v>33</v>
      </c>
      <c r="B2" s="5" t="s">
        <v>34</v>
      </c>
      <c r="C2" s="5" t="s">
        <v>0</v>
      </c>
      <c r="E2" s="7" t="s">
        <v>54</v>
      </c>
      <c r="F2" s="7" t="s">
        <v>57</v>
      </c>
      <c r="G2" s="7" t="s">
        <v>55</v>
      </c>
      <c r="H2" s="7" t="s">
        <v>56</v>
      </c>
      <c r="I2" s="7" t="s">
        <v>26</v>
      </c>
      <c r="J2" s="7"/>
      <c r="K2" s="7" t="s">
        <v>20</v>
      </c>
      <c r="L2" s="7" t="s">
        <v>49</v>
      </c>
      <c r="M2" s="7" t="s">
        <v>23</v>
      </c>
      <c r="N2" s="7" t="s">
        <v>50</v>
      </c>
      <c r="O2" s="7" t="s">
        <v>24</v>
      </c>
      <c r="P2" s="7" t="s">
        <v>25</v>
      </c>
      <c r="Q2" s="7" t="s">
        <v>48</v>
      </c>
      <c r="R2" s="7"/>
      <c r="S2" s="7" t="s">
        <v>21</v>
      </c>
      <c r="T2" s="7" t="s">
        <v>52</v>
      </c>
      <c r="U2" s="7" t="s">
        <v>51</v>
      </c>
      <c r="V2" s="7" t="s">
        <v>22</v>
      </c>
      <c r="W2" s="7" t="s">
        <v>53</v>
      </c>
      <c r="X2" s="7"/>
      <c r="Y2" s="7" t="s">
        <v>37</v>
      </c>
      <c r="Z2" s="7" t="s">
        <v>38</v>
      </c>
      <c r="AA2" s="7" t="s">
        <v>39</v>
      </c>
      <c r="AB2" s="7" t="s">
        <v>40</v>
      </c>
      <c r="AC2" s="7" t="s">
        <v>41</v>
      </c>
      <c r="AD2" s="7" t="s">
        <v>42</v>
      </c>
      <c r="AE2" s="7" t="s">
        <v>43</v>
      </c>
      <c r="AF2" s="7" t="s">
        <v>44</v>
      </c>
      <c r="AG2" s="7" t="s">
        <v>45</v>
      </c>
      <c r="AH2" s="7" t="s">
        <v>46</v>
      </c>
      <c r="AI2" s="7" t="s">
        <v>47</v>
      </c>
    </row>
    <row r="3" spans="1:35" ht="15" thickBot="1">
      <c r="A3" s="10"/>
      <c r="C3" s="4" t="s">
        <v>32</v>
      </c>
      <c r="E3" s="8">
        <f>SUMIF('Card Data'!$A:$A,$A3,'Card Data'!$D:$D)</f>
        <v>0</v>
      </c>
      <c r="F3" s="8">
        <f>COUNTIFS('Card Data'!$H:$H,K$2,'Card Data'!$A:$A,$A3)</f>
        <v>0</v>
      </c>
      <c r="G3" s="8">
        <f>SUMIFS('Card Data'!$D:$D,'Card Data'!$A:$A,$A3,'Card Data'!$I:$I,"&lt;&gt;",'Card Data'!$H:$H,"&lt;&gt;Hero")</f>
        <v>0</v>
      </c>
      <c r="H3" s="8">
        <f>SUMIFS('Card Data'!$D:$D,'Card Data'!$A:$A,$A3,'Card Data'!$I:$I,"")-I3</f>
        <v>0</v>
      </c>
      <c r="I3" s="8">
        <f>COUNTIFS('Card Data'!$H:$H,I$2,'Card Data'!$A:$A,$A3,'Card Data'!$J:$J,"&lt;&gt;*Side Quest.*")</f>
        <v>0</v>
      </c>
      <c r="J3" s="8"/>
      <c r="K3" s="8">
        <f>COUNTIFS('Card Data'!$H:$H,K$2,'Card Data'!$A:$A,$A3)</f>
        <v>0</v>
      </c>
      <c r="L3" s="8">
        <f>COUNTIFS('Card Data'!$H:$H,L$2,'Card Data'!$A:$A,$A3)</f>
        <v>0</v>
      </c>
      <c r="M3" s="8">
        <f>COUNTIFS('Card Data'!$H:$H,M$2,'Card Data'!$A:$A,$A3)</f>
        <v>0</v>
      </c>
      <c r="N3" s="8">
        <f>COUNTIFS('Card Data'!$H:$H,N$2,'Card Data'!$A:$A,$A3)</f>
        <v>0</v>
      </c>
      <c r="O3" s="8">
        <f>COUNTIFS('Card Data'!$H:$H,O$2,'Card Data'!$A:$A,$A3)</f>
        <v>0</v>
      </c>
      <c r="P3" s="8">
        <f>COUNTIFS('Card Data'!$H:$H,P$2,'Card Data'!$A:$A,$A3)</f>
        <v>0</v>
      </c>
      <c r="Q3" s="8">
        <f>COUNTIFS('Card Data'!$H:$H,Q$2,'Card Data'!$A:$A,$A3)</f>
        <v>0</v>
      </c>
      <c r="R3" s="8"/>
      <c r="S3" s="8">
        <f>COUNTIFS('Card Data'!$I:$I,S$2,'Card Data'!$A:$A,$A3)</f>
        <v>0</v>
      </c>
      <c r="T3" s="8">
        <f>COUNTIFS('Card Data'!$I:$I,T$2,'Card Data'!$A:$A,$A3)</f>
        <v>0</v>
      </c>
      <c r="U3" s="8">
        <f>COUNTIFS('Card Data'!$I:$I,U$2,'Card Data'!$A:$A,$A3)</f>
        <v>0</v>
      </c>
      <c r="V3" s="8">
        <f>COUNTIFS('Card Data'!$I:$I,V$2,'Card Data'!$A:$A,$A3)</f>
        <v>0</v>
      </c>
      <c r="W3" s="8">
        <f>COUNTIFS('Card Data'!$I:$I,W$2,'Card Data'!$A:$A,$A3)</f>
        <v>0</v>
      </c>
      <c r="X3" s="8"/>
      <c r="Y3" s="8" t="str">
        <f>IF(COUNTIFS('Card Data'!$J:$J,"*"&amp;Y$2&amp;".*",'Card Data'!$A:$A,$A3)=0,"",IF(COUNTIFS('Card Data'!$J:$J,"*"&amp;Y$2&amp;".*",'Card Data'!$A:$A,$A3,'Card Data'!$H:$H,"Hero")=0,COUNTIFS('Card Data'!$J:$J,"*"&amp;Y$2&amp;".*",'Card Data'!$A:$A,$A3),COUNTIFS('Card Data'!$J:$J,"*"&amp;Y$2&amp;".*",'Card Data'!$A:$A,$A3)&amp;" ("&amp;COUNTIFS('Card Data'!$J:$J,"*"&amp;Y$2&amp;".*",'Card Data'!$A:$A,$A3,'Card Data'!$H:$H,"Hero")&amp;")"))</f>
        <v/>
      </c>
      <c r="Z3" s="8" t="str">
        <f>IF(COUNTIFS('Card Data'!$J:$J,"*"&amp;Z$2&amp;".*",'Card Data'!$A:$A,$A3)=0,"",IF(COUNTIFS('Card Data'!$J:$J,"*"&amp;Z$2&amp;".*",'Card Data'!$A:$A,$A3,'Card Data'!$H:$H,"Hero")=0,COUNTIFS('Card Data'!$J:$J,"*"&amp;Z$2&amp;".*",'Card Data'!$A:$A,$A3),COUNTIFS('Card Data'!$J:$J,"*"&amp;Z$2&amp;".*",'Card Data'!$A:$A,$A3)&amp;" ("&amp;COUNTIFS('Card Data'!$J:$J,"*"&amp;Z$2&amp;".*",'Card Data'!$A:$A,$A3,'Card Data'!$H:$H,"Hero")&amp;")"))</f>
        <v/>
      </c>
      <c r="AA3" s="8" t="str">
        <f>IF(COUNTIFS('Card Data'!$J:$J,"*"&amp;AA$2&amp;".*",'Card Data'!$A:$A,$A3)=0,"",IF(COUNTIFS('Card Data'!$J:$J,"*"&amp;AA$2&amp;".*",'Card Data'!$A:$A,$A3,'Card Data'!$H:$H,"Hero")=0,COUNTIFS('Card Data'!$J:$J,"*"&amp;AA$2&amp;".*",'Card Data'!$A:$A,$A3),COUNTIFS('Card Data'!$J:$J,"*"&amp;AA$2&amp;".*",'Card Data'!$A:$A,$A3)&amp;" ("&amp;COUNTIFS('Card Data'!$J:$J,"*"&amp;AA$2&amp;".*",'Card Data'!$A:$A,$A3,'Card Data'!$H:$H,"Hero")&amp;")"))</f>
        <v/>
      </c>
      <c r="AB3" s="8" t="str">
        <f>IF(COUNTIFS('Card Data'!$J:$J,"*"&amp;AB$2&amp;".*",'Card Data'!$A:$A,$A3)=0,"",IF(COUNTIFS('Card Data'!$J:$J,"*"&amp;AB$2&amp;".*",'Card Data'!$A:$A,$A3,'Card Data'!$H:$H,"Hero")=0,COUNTIFS('Card Data'!$J:$J,"*"&amp;AB$2&amp;".*",'Card Data'!$A:$A,$A3),COUNTIFS('Card Data'!$J:$J,"*"&amp;AB$2&amp;".*",'Card Data'!$A:$A,$A3)&amp;" ("&amp;COUNTIFS('Card Data'!$J:$J,"*"&amp;AB$2&amp;".*",'Card Data'!$A:$A,$A3,'Card Data'!$H:$H,"Hero")&amp;")"))</f>
        <v/>
      </c>
      <c r="AC3" s="8" t="str">
        <f>IF(COUNTIFS('Card Data'!$J:$J,"*"&amp;AC$2&amp;".*",'Card Data'!$A:$A,$A3)=0,"",IF(COUNTIFS('Card Data'!$J:$J,"*"&amp;AC$2&amp;".*",'Card Data'!$A:$A,$A3,'Card Data'!$H:$H,"Hero")=0,COUNTIFS('Card Data'!$J:$J,"*"&amp;AC$2&amp;".*",'Card Data'!$A:$A,$A3),COUNTIFS('Card Data'!$J:$J,"*"&amp;AC$2&amp;".*",'Card Data'!$A:$A,$A3)&amp;" ("&amp;COUNTIFS('Card Data'!$J:$J,"*"&amp;AC$2&amp;".*",'Card Data'!$A:$A,$A3,'Card Data'!$H:$H,"Hero")&amp;")"))</f>
        <v/>
      </c>
      <c r="AD3" s="8" t="str">
        <f>IF(COUNTIFS('Card Data'!$J:$J,"*"&amp;AD$2&amp;".*",'Card Data'!$A:$A,$A3)=0,"",IF(COUNTIFS('Card Data'!$J:$J,"*"&amp;AD$2&amp;".*",'Card Data'!$A:$A,$A3,'Card Data'!$H:$H,"Hero")=0,COUNTIFS('Card Data'!$J:$J,"*"&amp;AD$2&amp;".*",'Card Data'!$A:$A,$A3),COUNTIFS('Card Data'!$J:$J,"*"&amp;AD$2&amp;".*",'Card Data'!$A:$A,$A3)&amp;" ("&amp;COUNTIFS('Card Data'!$J:$J,"*"&amp;AD$2&amp;".*",'Card Data'!$A:$A,$A3,'Card Data'!$H:$H,"Hero")&amp;")"))</f>
        <v/>
      </c>
      <c r="AE3" s="8" t="str">
        <f>IF(COUNTIFS('Card Data'!$J:$J,"*"&amp;AE$2&amp;".*",'Card Data'!$A:$A,$A3)=0,"",IF(COUNTIFS('Card Data'!$J:$J,"*"&amp;AE$2&amp;".*",'Card Data'!$A:$A,$A3,'Card Data'!$H:$H,"Hero")=0,COUNTIFS('Card Data'!$J:$J,"*"&amp;AE$2&amp;".*",'Card Data'!$A:$A,$A3),COUNTIFS('Card Data'!$J:$J,"*"&amp;AE$2&amp;".*",'Card Data'!$A:$A,$A3)&amp;" ("&amp;COUNTIFS('Card Data'!$J:$J,"*"&amp;AE$2&amp;".*",'Card Data'!$A:$A,$A3,'Card Data'!$H:$H,"Hero")&amp;")"))</f>
        <v/>
      </c>
      <c r="AF3" s="8" t="str">
        <f>IF(COUNTIFS('Card Data'!$J:$J,"*"&amp;AF$2&amp;".*",'Card Data'!$A:$A,$A3)=0,"",IF(COUNTIFS('Card Data'!$J:$J,"*"&amp;AF$2&amp;".*",'Card Data'!$A:$A,$A3,'Card Data'!$H:$H,"Hero")=0,COUNTIFS('Card Data'!$J:$J,"*"&amp;AF$2&amp;".*",'Card Data'!$A:$A,$A3),COUNTIFS('Card Data'!$J:$J,"*"&amp;AF$2&amp;".*",'Card Data'!$A:$A,$A3)&amp;" ("&amp;COUNTIFS('Card Data'!$J:$J,"*"&amp;AF$2&amp;".*",'Card Data'!$A:$A,$A3,'Card Data'!$H:$H,"Hero")&amp;")"))</f>
        <v/>
      </c>
      <c r="AG3" s="8" t="str">
        <f>IF(COUNTIFS('Card Data'!$J:$J,"*"&amp;AG$2&amp;".*",'Card Data'!$A:$A,$A3)=0,"",IF(COUNTIFS('Card Data'!$J:$J,"*"&amp;AG$2&amp;".*",'Card Data'!$A:$A,$A3,'Card Data'!$H:$H,"Hero")=0,COUNTIFS('Card Data'!$J:$J,"*"&amp;AG$2&amp;".*",'Card Data'!$A:$A,$A3),COUNTIFS('Card Data'!$J:$J,"*"&amp;AG$2&amp;".*",'Card Data'!$A:$A,$A3)&amp;" ("&amp;COUNTIFS('Card Data'!$J:$J,"*"&amp;AG$2&amp;".*",'Card Data'!$A:$A,$A3,'Card Data'!$H:$H,"Hero")&amp;")"))</f>
        <v/>
      </c>
      <c r="AH3" s="8" t="str">
        <f>IF(COUNTIFS('Card Data'!$J:$J,"*"&amp;AH$2&amp;".*",'Card Data'!$A:$A,$A3)=0,"",IF(COUNTIFS('Card Data'!$J:$J,"*"&amp;AH$2&amp;".*",'Card Data'!$A:$A,$A3,'Card Data'!$H:$H,"Hero")=0,COUNTIFS('Card Data'!$J:$J,"*"&amp;AH$2&amp;".*",'Card Data'!$A:$A,$A3),COUNTIFS('Card Data'!$J:$J,"*"&amp;AH$2&amp;".*",'Card Data'!$A:$A,$A3)&amp;" ("&amp;COUNTIFS('Card Data'!$J:$J,"*"&amp;AH$2&amp;".*",'Card Data'!$A:$A,$A3,'Card Data'!$H:$H,"Hero")&amp;")"))</f>
        <v/>
      </c>
      <c r="AI3" s="8" t="str">
        <f>IF(COUNTIFS('Card Data'!$J:$J,"*"&amp;AI$2&amp;".*",'Card Data'!$A:$A,$A3)=0,"",IF(COUNTIFS('Card Data'!$J:$J,"*"&amp;AI$2&amp;".*",'Card Data'!$A:$A,$A3,'Card Data'!$H:$H,"Hero")=0,COUNTIFS('Card Data'!$J:$J,"*"&amp;AI$2&amp;".*",'Card Data'!$A:$A,$A3),COUNTIFS('Card Data'!$J:$J,"*"&amp;AI$2&amp;".*",'Card Data'!$A:$A,$A3)&amp;" ("&amp;COUNTIFS('Card Data'!$J:$J,"*"&amp;AI$2&amp;".*",'Card Data'!$A:$A,$A3,'Card Data'!$H:$H,"Hero")&amp;")"))</f>
        <v/>
      </c>
    </row>
  </sheetData>
  <mergeCells count="4">
    <mergeCell ref="Y1:AI1"/>
    <mergeCell ref="K1:Q1"/>
    <mergeCell ref="S1:W1"/>
    <mergeCell ref="E1:I1"/>
  </mergeCells>
  <conditionalFormatting sqref="S2">
    <cfRule type="cellIs" dxfId="55" priority="29" operator="equal">
      <formula>"Fellowship"</formula>
    </cfRule>
    <cfRule type="cellIs" dxfId="54" priority="30" operator="equal">
      <formula>"Neutral"</formula>
    </cfRule>
    <cfRule type="cellIs" dxfId="53" priority="31" operator="equal">
      <formula>"Baggins"</formula>
    </cfRule>
    <cfRule type="cellIs" dxfId="52" priority="32" operator="equal">
      <formula>"Lore"</formula>
    </cfRule>
    <cfRule type="cellIs" dxfId="51" priority="33" operator="equal">
      <formula>"Spirit"</formula>
    </cfRule>
    <cfRule type="cellIs" dxfId="50" priority="34" operator="equal">
      <formula>"Tactics"</formula>
    </cfRule>
    <cfRule type="cellIs" dxfId="49" priority="35" operator="equal">
      <formula>"Leadership"</formula>
    </cfRule>
  </conditionalFormatting>
  <conditionalFormatting sqref="T2">
    <cfRule type="cellIs" dxfId="48" priority="22" operator="equal">
      <formula>"Fellowship"</formula>
    </cfRule>
    <cfRule type="cellIs" dxfId="47" priority="23" operator="equal">
      <formula>"Neutral"</formula>
    </cfRule>
    <cfRule type="cellIs" dxfId="46" priority="24" operator="equal">
      <formula>"Baggins"</formula>
    </cfRule>
    <cfRule type="cellIs" dxfId="45" priority="25" operator="equal">
      <formula>"Lore"</formula>
    </cfRule>
    <cfRule type="cellIs" dxfId="44" priority="26" operator="equal">
      <formula>"Spirit"</formula>
    </cfRule>
    <cfRule type="cellIs" dxfId="43" priority="27" operator="equal">
      <formula>"Tactics"</formula>
    </cfRule>
    <cfRule type="cellIs" dxfId="42" priority="28" operator="equal">
      <formula>"Leadership"</formula>
    </cfRule>
  </conditionalFormatting>
  <conditionalFormatting sqref="U2">
    <cfRule type="cellIs" dxfId="41" priority="15" operator="equal">
      <formula>"Fellowship"</formula>
    </cfRule>
    <cfRule type="cellIs" dxfId="40" priority="16" operator="equal">
      <formula>"Neutral"</formula>
    </cfRule>
    <cfRule type="cellIs" dxfId="39" priority="17" operator="equal">
      <formula>"Baggins"</formula>
    </cfRule>
    <cfRule type="cellIs" dxfId="38" priority="18" operator="equal">
      <formula>"Lore"</formula>
    </cfRule>
    <cfRule type="cellIs" dxfId="37" priority="19" operator="equal">
      <formula>"Spirit"</formula>
    </cfRule>
    <cfRule type="cellIs" dxfId="36" priority="20" operator="equal">
      <formula>"Tactics"</formula>
    </cfRule>
    <cfRule type="cellIs" dxfId="35" priority="21" operator="equal">
      <formula>"Leadership"</formula>
    </cfRule>
  </conditionalFormatting>
  <conditionalFormatting sqref="V2">
    <cfRule type="cellIs" dxfId="34" priority="8" operator="equal">
      <formula>"Fellowship"</formula>
    </cfRule>
    <cfRule type="cellIs" dxfId="33" priority="9" operator="equal">
      <formula>"Neutral"</formula>
    </cfRule>
    <cfRule type="cellIs" dxfId="32" priority="10" operator="equal">
      <formula>"Baggins"</formula>
    </cfRule>
    <cfRule type="cellIs" dxfId="31" priority="11" operator="equal">
      <formula>"Lore"</formula>
    </cfRule>
    <cfRule type="cellIs" dxfId="30" priority="12" operator="equal">
      <formula>"Spirit"</formula>
    </cfRule>
    <cfRule type="cellIs" dxfId="29" priority="13" operator="equal">
      <formula>"Tactics"</formula>
    </cfRule>
    <cfRule type="cellIs" dxfId="28" priority="14" operator="equal">
      <formula>"Leadership"</formula>
    </cfRule>
  </conditionalFormatting>
  <conditionalFormatting sqref="W2">
    <cfRule type="cellIs" dxfId="27" priority="1" operator="equal">
      <formula>"Fellowship"</formula>
    </cfRule>
    <cfRule type="cellIs" dxfId="26" priority="2" operator="equal">
      <formula>"Neutral"</formula>
    </cfRule>
    <cfRule type="cellIs" dxfId="25" priority="3" operator="equal">
      <formula>"Baggins"</formula>
    </cfRule>
    <cfRule type="cellIs" dxfId="24" priority="4" operator="equal">
      <formula>"Lore"</formula>
    </cfRule>
    <cfRule type="cellIs" dxfId="23" priority="5" operator="equal">
      <formula>"Spirit"</formula>
    </cfRule>
    <cfRule type="cellIs" dxfId="22" priority="6" operator="equal">
      <formula>"Tactics"</formula>
    </cfRule>
    <cfRule type="cellIs" dxfId="21" priority="7" operator="equal">
      <formula>"Leadership"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9" customWidth="1" outlineLevel="1"/>
    <col min="2" max="2" width="21.69140625" style="19" customWidth="1" outlineLevel="1"/>
    <col min="3" max="3" width="6" style="19" customWidth="1" outlineLevel="1"/>
    <col min="4" max="4" width="3.15234375" style="19" customWidth="1" outlineLevel="1"/>
    <col min="5" max="5" width="33.53515625" style="19" customWidth="1" outlineLevel="1"/>
    <col min="6" max="6" width="23.3828125" style="19" customWidth="1"/>
    <col min="7" max="7" width="3.15234375" style="19" bestFit="1" customWidth="1"/>
    <col min="8" max="8" width="11.3828125" style="19" customWidth="1"/>
    <col min="9" max="9" width="13.69140625" style="19" customWidth="1"/>
    <col min="10" max="10" width="26.53515625" style="19" customWidth="1"/>
    <col min="11" max="11" width="31" style="19" customWidth="1"/>
    <col min="12" max="12" width="3.15234375" style="19" bestFit="1" customWidth="1"/>
    <col min="13" max="13" width="3.15234375" style="20" bestFit="1" customWidth="1"/>
    <col min="14" max="14" width="3.15234375" style="21" bestFit="1" customWidth="1"/>
    <col min="15" max="15" width="3.15234375" style="22" bestFit="1" customWidth="1"/>
    <col min="16" max="16" width="3.15234375" style="23" bestFit="1" customWidth="1"/>
    <col min="17" max="17" width="3.15234375" style="24" bestFit="1" customWidth="1"/>
    <col min="18" max="18" width="3.15234375" style="25" bestFit="1" customWidth="1"/>
    <col min="19" max="19" width="3.15234375" style="26" bestFit="1" customWidth="1"/>
    <col min="20" max="20" width="3.15234375" style="19" bestFit="1" customWidth="1"/>
    <col min="21" max="21" width="58.84375" style="19" customWidth="1"/>
    <col min="22" max="22" width="45.3046875" style="19" customWidth="1"/>
    <col min="23" max="23" width="29.84375" style="19" customWidth="1"/>
    <col min="24" max="24" width="12.69140625" style="19" customWidth="1"/>
    <col min="25" max="25" width="6.61328125" style="19" customWidth="1"/>
    <col min="26" max="26" width="6.3046875" style="19" customWidth="1"/>
    <col min="27" max="27" width="5.765625" style="19" customWidth="1"/>
    <col min="28" max="28" width="32" style="19" customWidth="1"/>
    <col min="29" max="29" width="3.15234375" style="19" customWidth="1"/>
    <col min="30" max="30" width="8.69140625" style="19" bestFit="1" customWidth="1"/>
    <col min="31" max="31" width="8.53515625" style="19" customWidth="1" outlineLevel="1"/>
    <col min="32" max="32" width="24.3828125" style="19" customWidth="1" outlineLevel="1"/>
    <col min="33" max="33" width="28.84375" style="19" customWidth="1" outlineLevel="1"/>
    <col min="34" max="34" width="3.15234375" style="19" customWidth="1"/>
    <col min="35" max="35" width="3.15234375" style="20" customWidth="1"/>
    <col min="36" max="36" width="3.15234375" style="21" customWidth="1" outlineLevel="1"/>
    <col min="37" max="37" width="3.15234375" style="22" customWidth="1" outlineLevel="1"/>
    <col min="38" max="38" width="3.15234375" style="23" customWidth="1" outlineLevel="1"/>
    <col min="39" max="39" width="3.15234375" style="24" customWidth="1" outlineLevel="1"/>
    <col min="40" max="40" width="3.15234375" style="25" customWidth="1" outlineLevel="1"/>
    <col min="41" max="41" width="8.3828125" style="26" bestFit="1" customWidth="1"/>
    <col min="42" max="42" width="3.53515625" style="19" bestFit="1" customWidth="1"/>
    <col min="43" max="43" width="62" style="19" customWidth="1"/>
    <col min="44" max="45" width="45.3046875" style="19" customWidth="1" outlineLevel="1"/>
    <col min="46" max="46" width="12.69140625" style="19" customWidth="1"/>
    <col min="47" max="47" width="7.15234375" style="19" customWidth="1"/>
    <col min="48" max="48" width="6.61328125" style="19" customWidth="1"/>
    <col min="49" max="49" width="6.53515625" style="19" customWidth="1"/>
    <col min="50" max="50" width="12.69140625" style="19" customWidth="1" outlineLevel="1"/>
    <col min="51" max="52" width="20.53515625" style="19" customWidth="1"/>
    <col min="53" max="16384" width="9.15234375" style="19"/>
  </cols>
  <sheetData>
    <row r="1" spans="1:52" s="18" customFormat="1" ht="106.5" customHeight="1">
      <c r="A1" s="11" t="s">
        <v>27</v>
      </c>
      <c r="B1" s="11" t="s">
        <v>61</v>
      </c>
      <c r="C1" s="12" t="s">
        <v>30</v>
      </c>
      <c r="D1" s="12" t="s">
        <v>18</v>
      </c>
      <c r="E1" s="11" t="s">
        <v>17</v>
      </c>
      <c r="F1" s="11" t="s">
        <v>28</v>
      </c>
      <c r="G1" s="12" t="s">
        <v>6</v>
      </c>
      <c r="H1" s="11" t="s">
        <v>2</v>
      </c>
      <c r="I1" s="11" t="s">
        <v>3</v>
      </c>
      <c r="J1" s="11" t="s">
        <v>11</v>
      </c>
      <c r="K1" s="11" t="s">
        <v>14</v>
      </c>
      <c r="L1" s="12" t="s">
        <v>4</v>
      </c>
      <c r="M1" s="13" t="s">
        <v>5</v>
      </c>
      <c r="N1" s="13" t="s">
        <v>15</v>
      </c>
      <c r="O1" s="13" t="s">
        <v>9</v>
      </c>
      <c r="P1" s="13" t="s">
        <v>7</v>
      </c>
      <c r="Q1" s="13" t="s">
        <v>8</v>
      </c>
      <c r="R1" s="13" t="s">
        <v>10</v>
      </c>
      <c r="S1" s="13" t="s">
        <v>16</v>
      </c>
      <c r="T1" s="12" t="s">
        <v>19</v>
      </c>
      <c r="U1" s="11" t="s">
        <v>12</v>
      </c>
      <c r="V1" s="11" t="s">
        <v>13</v>
      </c>
      <c r="W1" s="11" t="s">
        <v>59</v>
      </c>
      <c r="X1" s="11" t="s">
        <v>60</v>
      </c>
      <c r="Y1" s="11" t="s">
        <v>65</v>
      </c>
      <c r="Z1" s="11" t="s">
        <v>66</v>
      </c>
      <c r="AA1" s="11" t="s">
        <v>67</v>
      </c>
      <c r="AB1" s="14" t="s">
        <v>29</v>
      </c>
      <c r="AC1" s="15" t="s">
        <v>6</v>
      </c>
      <c r="AD1" s="14" t="s">
        <v>2</v>
      </c>
      <c r="AE1" s="14" t="s">
        <v>3</v>
      </c>
      <c r="AF1" s="14" t="s">
        <v>11</v>
      </c>
      <c r="AG1" s="14" t="s">
        <v>14</v>
      </c>
      <c r="AH1" s="15" t="s">
        <v>4</v>
      </c>
      <c r="AI1" s="16" t="s">
        <v>5</v>
      </c>
      <c r="AJ1" s="16" t="s">
        <v>15</v>
      </c>
      <c r="AK1" s="16" t="s">
        <v>9</v>
      </c>
      <c r="AL1" s="16" t="s">
        <v>7</v>
      </c>
      <c r="AM1" s="16" t="s">
        <v>8</v>
      </c>
      <c r="AN1" s="16" t="s">
        <v>10</v>
      </c>
      <c r="AO1" s="16" t="s">
        <v>16</v>
      </c>
      <c r="AP1" s="15" t="s">
        <v>19</v>
      </c>
      <c r="AQ1" s="14" t="s">
        <v>12</v>
      </c>
      <c r="AR1" s="14" t="s">
        <v>13</v>
      </c>
      <c r="AS1" s="14" t="s">
        <v>59</v>
      </c>
      <c r="AT1" s="14" t="s">
        <v>60</v>
      </c>
      <c r="AU1" s="14" t="s">
        <v>65</v>
      </c>
      <c r="AV1" s="14" t="s">
        <v>66</v>
      </c>
      <c r="AW1" s="14" t="s">
        <v>67</v>
      </c>
      <c r="AX1" s="11" t="s">
        <v>63</v>
      </c>
      <c r="AY1" s="17" t="s">
        <v>64</v>
      </c>
      <c r="AZ1" s="17" t="s">
        <v>62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Sets</vt:lpstr>
      <vt:lpstr>Card Data</vt:lpstr>
      <vt:lpstr>CardNumber</vt:lpstr>
      <vt:lpstr>GameGUID</vt:lpstr>
      <vt:lpstr>GameVersion</vt:lpstr>
      <vt:lpstr>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2020-11-09T19:10:12Z</dcterms:modified>
</cp:coreProperties>
</file>