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2" activeTab="2"/>
  </bookViews>
  <sheets>
    <sheet name="IDS" sheetId="3" state="hidden" r:id="rId1"/>
    <sheet name="Imported Data" sheetId="6" state="hidden" r:id="rId2"/>
    <sheet name="Sets" sheetId="7" r:id="rId3"/>
    <sheet name="Card Data" sheetId="10" r:id="rId4"/>
  </sheets>
  <functionGroups builtInGroupCount="17"/>
  <definedNames>
    <definedName name="CardNumber">'Card Data'!$C:$C</definedName>
    <definedName name="GameGUID">Sets!$A$1</definedName>
    <definedName name="GameVersion">Sets!$C$1</definedName>
    <definedName name="Set">'Card Data'!$A:$A</definedName>
  </definedNames>
  <calcPr calcId="144525"/>
  <pivotCaches>
    <pivotCache cacheId="0"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G2" i="6"/>
  <c r="Y6" i="6" l="1"/>
  <c r="Y4" i="6"/>
  <c r="Y5" i="6"/>
  <c r="Y3" i="6"/>
  <c r="B2" i="6" l="1"/>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<sst xmlns="http://schemas.openxmlformats.org/spreadsheetml/2006/main" count="163" uniqueCount="86">
  <si>
    <t>id</t>
  </si>
  <si>
    <t>version</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</si>
  <si>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</si>
  <si>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</si>
  <si>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</si>
  <si>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</si>
  <si>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</si>
  <si>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</si>
  <si>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</si>
  <si>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</si>
  <si>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</si>
  <si>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</si>
  <si>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</si>
  <si>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</si>
  <si>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</si>
  <si>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</si>
  <si>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</si>
  <si>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</si>
  <si>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</si>
  <si>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</si>
  <si>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</si>
  <si>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</si>
  <si>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</si>
  <si>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</si>
  <si>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Lore</t>
  </si>
  <si>
    <t>Attachment</t>
  </si>
  <si>
    <t>Enemy</t>
  </si>
  <si>
    <t>Location</t>
  </si>
  <si>
    <t>Quest</t>
  </si>
  <si>
    <t>Set</t>
  </si>
  <si>
    <t>GUID</t>
  </si>
  <si>
    <t>Name</t>
  </si>
  <si>
    <t>Side B</t>
  </si>
  <si>
    <t>ID</t>
  </si>
  <si>
    <t>Card Number</t>
  </si>
  <si>
    <t>2.3.6.0</t>
  </si>
  <si>
    <t>Unused</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</si>
  <si>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</si>
  <si>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</si>
  <si>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</si>
  <si>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</si>
  <si>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</si>
  <si>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</si>
  <si>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</si>
  <si>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</si>
  <si>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</si>
  <si>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</si>
  <si>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</si>
  <si>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</si>
  <si>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The Necromancer's Tower - 1B</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</si>
  <si>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</si>
  <si>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</si>
  <si>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</si>
  <si>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</si>
  <si>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</si>
  <si>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</si>
  <si>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</si>
  <si>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</si>
  <si>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</si>
  <si>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</si>
  <si>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</si>
  <si>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</si>
  <si>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</si>
  <si>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</si>
  <si>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</si>
  <si>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</si>
  <si>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</si>
  <si>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</si>
  <si>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</si>
  <si>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</si>
  <si>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</si>
  <si>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</si>
  <si>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</si>
  <si>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</si>
  <si>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</si>
  <si>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</si>
  <si>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</si>
  <si>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</si>
  <si>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</si>
  <si>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</si>
  <si>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</si>
  <si>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</si>
  <si>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</si>
  <si>
    <t>PanX</t>
  </si>
  <si>
    <t>PanY</t>
  </si>
  <si>
    <t>Scale</t>
  </si>
</sst>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4" fillId="0" borderId="0"/>
    <xf numFmtId="0" fontId="15" fillId="0" borderId="0"/>
  </cellStyleXfs>
  <cellXfs count="38">
    <xf numFmtId="0" fontId="0" fillId="0" borderId="0" xfId="0"/>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49" fontId="4" fillId="0" borderId="0" xfId="0" applyNumberFormat="1" applyFont="1"/>
    <xf numFmtId="0" fontId="0" fillId="0" borderId="0" xfId="0" quotePrefix="1"/>
    <xf numFmtId="0" fontId="6" fillId="2" borderId="0" xfId="0" applyFont="1" applyFill="1"/>
    <xf numFmtId="0" fontId="7" fillId="2" borderId="2" xfId="0" applyFont="1" applyFill="1" applyBorder="1"/>
    <xf numFmtId="0" fontId="8" fillId="0" borderId="2" xfId="0" applyFont="1" applyBorder="1" applyAlignment="1">
      <alignment horizontal="center"/>
    </xf>
    <xf numFmtId="0" fontId="9" fillId="0" borderId="2" xfId="0" applyFont="1" applyBorder="1" applyAlignment="1">
      <alignment horizontal="center"/>
    </xf>
    <xf numFmtId="0" fontId="7" fillId="2" borderId="2" xfId="0" applyFont="1" applyFill="1" applyBorder="1" applyAlignment="1">
      <alignment horizontal="center"/>
    </xf>
    <xf numFmtId="0" fontId="12" fillId="0" borderId="6" xfId="0" applyFont="1" applyBorder="1"/>
    <xf numFmtId="0" fontId="13" fillId="2" borderId="0" xfId="0" applyFont="1" applyFill="1" applyAlignment="1">
      <alignment horizontal="left" wrapText="1"/>
    </xf>
    <xf numFmtId="0" fontId="13" fillId="2" borderId="0" xfId="0" applyFont="1" applyFill="1" applyAlignment="1">
      <alignment horizontal="left" textRotation="180" wrapText="1"/>
    </xf>
    <xf numFmtId="0" fontId="13" fillId="2" borderId="1" xfId="0" applyFont="1" applyFill="1" applyBorder="1" applyAlignment="1">
      <alignment horizontal="left" textRotation="180" wrapText="1"/>
    </xf>
    <xf numFmtId="0" fontId="13" fillId="10" borderId="0" xfId="0" applyFont="1" applyFill="1" applyAlignment="1">
      <alignment horizontal="left" wrapText="1"/>
    </xf>
    <xf numFmtId="0" fontId="13" fillId="10" borderId="0" xfId="0" applyFont="1" applyFill="1" applyAlignment="1">
      <alignment horizontal="left" textRotation="180" wrapText="1"/>
    </xf>
    <xf numFmtId="0" fontId="13" fillId="10" borderId="1" xfId="0" applyFont="1" applyFill="1" applyBorder="1" applyAlignment="1">
      <alignment horizontal="left" textRotation="180" wrapText="1"/>
    </xf>
    <xf numFmtId="0" fontId="17" fillId="2" borderId="0" xfId="0" applyFont="1" applyFill="1" applyAlignment="1">
      <alignment horizontal="left" wrapText="1"/>
    </xf>
    <xf numFmtId="0" fontId="10" fillId="0" borderId="0" xfId="0" applyFont="1" applyAlignment="1">
      <alignment horizontal="left" wrapText="1"/>
    </xf>
    <xf numFmtId="0" fontId="11" fillId="0" borderId="0" xfId="0" applyFont="1" applyAlignment="1">
      <alignment horizontal="left" wrapText="1"/>
    </xf>
    <xf numFmtId="0" fontId="11" fillId="3" borderId="1" xfId="0" applyFont="1" applyFill="1" applyBorder="1" applyAlignment="1">
      <alignment horizontal="left" wrapText="1"/>
    </xf>
    <xf numFmtId="0" fontId="11" fillId="4" borderId="1" xfId="0" applyFont="1" applyFill="1" applyBorder="1" applyAlignment="1">
      <alignment horizontal="left" wrapText="1"/>
    </xf>
    <xf numFmtId="0" fontId="11" fillId="5" borderId="1" xfId="0" applyFont="1" applyFill="1" applyBorder="1" applyAlignment="1">
      <alignment horizontal="left" wrapText="1"/>
    </xf>
    <xf numFmtId="0" fontId="11" fillId="6" borderId="1" xfId="0" applyFont="1" applyFill="1" applyBorder="1" applyAlignment="1">
      <alignment horizontal="left" wrapText="1"/>
    </xf>
    <xf numFmtId="0" fontId="11" fillId="7" borderId="1" xfId="0" applyFont="1" applyFill="1" applyBorder="1" applyAlignment="1">
      <alignment horizontal="left" wrapText="1"/>
    </xf>
    <xf numFmtId="0" fontId="11" fillId="8" borderId="1" xfId="0" applyFont="1" applyFill="1" applyBorder="1" applyAlignment="1">
      <alignment horizontal="left" wrapText="1"/>
    </xf>
    <xf numFmtId="0" fontId="11" fillId="9" borderId="1" xfId="0" applyFont="1" applyFill="1" applyBorder="1" applyAlignment="1">
      <alignment horizontal="left" wrapText="1"/>
    </xf>
    <xf numFmtId="0" fontId="7" fillId="2" borderId="2" xfId="0" applyFont="1" applyFill="1" applyBorder="1" applyAlignment="1">
      <alignment horizont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5" xfId="0" applyFont="1" applyFill="1" applyBorder="1" applyAlignment="1">
      <alignment horizontal="center"/>
    </xf>
  </cellXfs>
  <cellStyles count="3">
    <cellStyle name="Normal" xfId="0" builtinId="0"/>
    <cellStyle name="Normal 2" xfId="1"/>
    <cellStyle name="Normal 3" xfId="2"/>
  </cellStyles>
  <dxfs count="5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58"/>
      <tableStyleElement type="firstRowStripe" dxfId="57"/>
      <tableStyleElement type="secondRowStripe" dxfId="5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190500</xdr:rowOff>
        </xdr:from>
        <xdr:to>
          <xdr:col>0</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174171</xdr:rowOff>
        </xdr:from>
        <xdr:to>
          <xdr:col>0</xdr:col>
          <xdr:colOff>0</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174171</xdr:rowOff>
        </xdr:from>
        <xdr:to>
          <xdr:col>0</xdr:col>
          <xdr:colOff>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1" t="s">
        <v>29</v>
      </c>
      <c r="B1" s="1" t="s">
        <v>30</v>
      </c>
      <c r="C1" s="1" t="s">
        <v>0</v>
      </c>
      <c r="D1" s="1" t="s">
        <v>31</v>
      </c>
      <c r="F1" s="1" t="s">
        <v>30</v>
      </c>
      <c r="G1" s="1" t="s">
        <v>32</v>
      </c>
      <c r="I1" s="1" t="s">
        <v>50</v>
      </c>
      <c r="J1" s="1" t="s">
        <v>51</v>
      </c>
      <c r="K1" s="1" t="s">
        <v>1</v>
      </c>
    </row>
    <row r="2" spans="1:11">
      <c r="A2" t="s">
        <v>53</v>
      </c>
      <c r="B2" t="s">
        <v>39</v>
      </c>
      <c r="C2" t="s">
        <v>38</v>
      </c>
      <c r="D2" t="s">
        <v>44</v>
      </c>
      <c r="F2" t="s">
        <v>43</v>
      </c>
      <c r="G2" t="s">
        <v>49</v>
      </c>
      <c r="I2" t="s">
        <v>38</v>
      </c>
      <c r="J2" t="s">
        <v>53</v>
      </c>
      <c r="K2" t="s">
        <v>37</v>
      </c>
    </row>
    <row r="3" spans="1:11">
      <c r="B3" t="s">
        <v>40</v>
      </c>
      <c r="C3" t="s">
        <v>38</v>
      </c>
      <c r="D3" t="s">
        <v>45</v>
      </c>
    </row>
    <row r="4" spans="1:11">
      <c r="B4" t="s">
        <v>41</v>
      </c>
      <c r="C4" t="s">
        <v>38</v>
      </c>
      <c r="D4" t="s">
        <v>46</v>
      </c>
    </row>
    <row r="5" spans="1:11">
      <c r="B5" t="s">
        <v>42</v>
      </c>
      <c r="C5" t="s">
        <v>38</v>
      </c>
      <c r="D5" t="s">
        <v>47</v>
      </c>
    </row>
    <row r="6" spans="1:11">
      <c r="B6" t="s">
        <v>43</v>
      </c>
      <c r="C6" t="s">
        <v>38</v>
      </c>
      <c r="D6" t="s">
        <v>48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3" bestFit="1" customWidth="1"/>
    <col min="3" max="5" width="4" style="3" bestFit="1" customWidth="1"/>
    <col min="6" max="6" width="37" style="3" bestFit="1" customWidth="1"/>
    <col min="7" max="7" width="37" style="3" customWidth="1"/>
    <col min="8" max="8" width="4" style="3" bestFit="1" customWidth="1"/>
    <col min="9" max="9" width="11.3046875" style="3" bestFit="1" customWidth="1"/>
    <col min="10" max="10" width="10.69140625" style="3" bestFit="1" customWidth="1"/>
    <col min="11" max="11" width="33.15234375" style="3" bestFit="1" customWidth="1"/>
    <col min="12" max="12" width="44.15234375" style="4" customWidth="1"/>
    <col min="13" max="21" width="4" style="3" bestFit="1" customWidth="1"/>
    <col min="22" max="22" width="66.69140625" style="4" customWidth="1"/>
    <col min="23" max="23" width="55.84375" style="4" customWidth="1"/>
    <col min="24" max="24" width="11.3046875" style="3" bestFit="1" customWidth="1"/>
    <col min="25" max="25" width="38" style="3" bestFit="1" customWidth="1"/>
    <col min="26" max="26" width="4" style="4" bestFit="1" customWidth="1"/>
    <col min="27" max="27" width="9.15234375" style="3"/>
    <col min="28" max="28" width="13" style="3" customWidth="1"/>
    <col min="29" max="29" width="12.84375" style="3" customWidth="1"/>
    <col min="30" max="30" width="12.3046875" style="3" customWidth="1"/>
    <col min="31" max="38" width="4" style="3" bestFit="1" customWidth="1"/>
    <col min="39" max="39" width="7" style="3" customWidth="1"/>
    <col min="40" max="41" width="55.84375" style="3" customWidth="1"/>
    <col min="42" max="16384" width="9.15234375" style="3"/>
  </cols>
  <sheetData>
    <row r="1" spans="1:42" s="2" customFormat="1" ht="90.45">
      <c r="A1" s="5" t="s">
        <v>29</v>
      </c>
      <c r="B1" s="5" t="s">
        <v>33</v>
      </c>
      <c r="C1" s="6" t="s">
        <v>36</v>
      </c>
      <c r="D1" s="6" t="s">
        <v>34</v>
      </c>
      <c r="E1" s="6" t="s">
        <v>20</v>
      </c>
      <c r="F1" s="5" t="s">
        <v>19</v>
      </c>
      <c r="G1" s="5" t="s">
        <v>31</v>
      </c>
      <c r="H1" s="6" t="s">
        <v>7</v>
      </c>
      <c r="I1" s="5" t="s">
        <v>3</v>
      </c>
      <c r="J1" s="5" t="s">
        <v>4</v>
      </c>
      <c r="K1" s="5" t="s">
        <v>13</v>
      </c>
      <c r="L1" s="7" t="s">
        <v>16</v>
      </c>
      <c r="M1" s="6" t="s">
        <v>5</v>
      </c>
      <c r="N1" s="6" t="s">
        <v>6</v>
      </c>
      <c r="O1" s="6" t="s">
        <v>17</v>
      </c>
      <c r="P1" s="6" t="s">
        <v>11</v>
      </c>
      <c r="Q1" s="6" t="s">
        <v>9</v>
      </c>
      <c r="R1" s="6" t="s">
        <v>10</v>
      </c>
      <c r="S1" s="6" t="s">
        <v>12</v>
      </c>
      <c r="T1" s="6" t="s">
        <v>18</v>
      </c>
      <c r="U1" s="6" t="s">
        <v>21</v>
      </c>
      <c r="V1" s="7" t="s">
        <v>14</v>
      </c>
      <c r="W1" s="7" t="s">
        <v>15</v>
      </c>
      <c r="X1" s="5" t="s">
        <v>8</v>
      </c>
      <c r="Y1" s="5" t="s">
        <v>32</v>
      </c>
      <c r="Z1" s="6" t="s">
        <v>7</v>
      </c>
      <c r="AA1" s="5" t="s">
        <v>3</v>
      </c>
      <c r="AB1" s="5" t="s">
        <v>4</v>
      </c>
      <c r="AC1" s="5" t="s">
        <v>13</v>
      </c>
      <c r="AD1" s="7" t="s">
        <v>16</v>
      </c>
      <c r="AE1" s="6" t="s">
        <v>5</v>
      </c>
      <c r="AF1" s="6" t="s">
        <v>6</v>
      </c>
      <c r="AG1" s="6" t="s">
        <v>17</v>
      </c>
      <c r="AH1" s="6" t="s">
        <v>11</v>
      </c>
      <c r="AI1" s="6" t="s">
        <v>9</v>
      </c>
      <c r="AJ1" s="6" t="s">
        <v>10</v>
      </c>
      <c r="AK1" s="6" t="s">
        <v>12</v>
      </c>
      <c r="AL1" s="6" t="s">
        <v>18</v>
      </c>
      <c r="AM1" s="6" t="s">
        <v>21</v>
      </c>
      <c r="AN1" s="7" t="s">
        <v>14</v>
      </c>
      <c r="AO1" s="7" t="s">
        <v>15</v>
      </c>
      <c r="AP1" s="5" t="s">
        <v>8</v>
      </c>
    </row>
    <row r="2" spans="1:42" ht="84.9">
      <c r="A2" s="3" t="str">
        <f>VLOOKUP(B2,IDS!$B:$D,2,FALSE)</f>
        <v>61747121-05d1-4216-8c22-06dcc958e7a3</v>
      </c>
      <c r="B2" s="3" t="str">
        <f>IDS!B2</f>
        <v>cd20023c-210a-498f-9183-65c461183c4c</v>
      </c>
      <c r="E2" s="3" t="str">
        <f>IFERROR(VALUE(IFERROR(VLOOKUP($B2&amp;E$1,#REF!,2,FALSE),"")),IFERROR(VLOOKUP($B2&amp;E$1,#REF!,2,FALSE),""))</f>
        <v/>
      </c>
      <c r="F2" s="3" t="str">
        <f>IFERROR(VLOOKUP($B2&amp;F$1,#REF!,2,FALSE),"")</f>
        <v/>
      </c>
      <c r="G2" s="3" t="str">
        <f>IDS!D2</f>
        <v>Aragorn</v>
      </c>
      <c r="H2" s="3" t="str">
        <f>IFERROR(VLOOKUP($B2&amp;H$1,#REF!,2,FALSE),"")</f>
        <v/>
      </c>
      <c r="I2" s="3" t="str">
        <f>IFERROR(VLOOKUP($B2&amp;I$1,#REF!,2,FALSE),"")</f>
        <v/>
      </c>
      <c r="J2" s="3" t="str">
        <f>IFERROR(VLOOKUP($B2&amp;J$1,#REF!,2,FALSE),"")</f>
        <v/>
      </c>
      <c r="K2" s="3" t="str">
        <f>IFERROR(VLOOKUP($B2&amp;K$1,#REF!,2,FALSE),"")</f>
        <v/>
      </c>
      <c r="L2" s="4" t="str">
        <f>IFERROR(VLOOKUP($B2&amp;L$1,#REF!,2,FALSE),"")</f>
        <v/>
      </c>
      <c r="M2" s="3" t="str">
        <f>IFERROR(VALUE(IFERROR(VLOOKUP($B2&amp;M$1,#REF!,2,FALSE),"")),IFERROR(VLOOKUP($B2&amp;M$1,#REF!,2,FALSE),""))</f>
        <v/>
      </c>
      <c r="N2" s="3" t="str">
        <f>IFERROR(VALUE(IFERROR(VLOOKUP($B2&amp;N$1,#REF!,2,FALSE),"")),IFERROR(VLOOKUP($B2&amp;N$1,#REF!,2,FALSE),""))</f>
        <v/>
      </c>
      <c r="O2" s="3" t="str">
        <f>IFERROR(VALUE(IFERROR(VLOOKUP($B2&amp;O$1,#REF!,2,FALSE),"")),IFERROR(VLOOKUP($B2&amp;O$1,#REF!,2,FALSE),""))</f>
        <v/>
      </c>
      <c r="P2" s="3" t="str">
        <f>IFERROR(VALUE(IFERROR(VLOOKUP($B2&amp;P$1,#REF!,2,FALSE),"")),IFERROR(VLOOKUP($B2&amp;P$1,#REF!,2,FALSE),""))</f>
        <v/>
      </c>
      <c r="Q2" s="3" t="str">
        <f>IFERROR(VALUE(IFERROR(VLOOKUP($B2&amp;Q$1,#REF!,2,FALSE),"")),IFERROR(VLOOKUP($B2&amp;Q$1,#REF!,2,FALSE),""))</f>
        <v/>
      </c>
      <c r="R2" s="3" t="str">
        <f>IFERROR(VALUE(IFERROR(VLOOKUP($B2&amp;R$1,#REF!,2,FALSE),"")),IFERROR(VLOOKUP($B2&amp;R$1,#REF!,2,FALSE),""))</f>
        <v/>
      </c>
      <c r="S2" s="3" t="str">
        <f>IFERROR(VALUE(IFERROR(VLOOKUP($B2&amp;S$1,#REF!,2,FALSE),"")),IFERROR(VLOOKUP($B2&amp;S$1,#REF!,2,FALSE),""))</f>
        <v/>
      </c>
      <c r="T2" s="3" t="str">
        <f>IFERROR(VALUE(IFERROR(VLOOKUP($B2&amp;T$1,#REF!,2,FALSE),"")),IFERROR(VLOOKUP($B2&amp;T$1,#REF!,2,FALSE),""))</f>
        <v/>
      </c>
      <c r="U2" s="3" t="str">
        <f>IFERROR(VALUE(IFERROR(VLOOKUP($B2&amp;U$1,#REF!,2,FALSE),"")),IFERROR(VLOOKUP($B2&amp;U$1,#REF!,2,FALSE),""))</f>
        <v/>
      </c>
      <c r="V2" s="4" t="str">
        <f>IFERROR(VLOOKUP($B2&amp;V$1,#REF!,2,FALSE),"")</f>
        <v/>
      </c>
      <c r="W2" s="4" t="str">
        <f>IFERROR(VLOOKUP($B2&amp;W$1,#REF!,2,FALSE),"")</f>
        <v/>
      </c>
      <c r="X2" s="3" t="str">
        <f>IFERROR(VLOOKUP($B2&amp;X$1,#REF!,2,FALSE),"")</f>
        <v/>
      </c>
      <c r="Y2" s="3" t="str">
        <f>IFERROR(VLOOKUP(B2,IDS!$F:$G,2,FALSE),"")</f>
        <v/>
      </c>
      <c r="Z2" s="3" t="str">
        <f>IFERROR(VLOOKUP($B2&amp;Z$1,#REF!,2,FALSE),"")</f>
        <v/>
      </c>
      <c r="AA2" s="3" t="str">
        <f>IFERROR(VLOOKUP($B2&amp;AA$1,#REF!,2,FALSE),"")</f>
        <v/>
      </c>
      <c r="AB2" s="3" t="str">
        <f>IFERROR(VLOOKUP($B2&amp;AB$1,#REF!,2,FALSE),"")</f>
        <v/>
      </c>
      <c r="AC2" s="3" t="str">
        <f>IFERROR(VLOOKUP($B2&amp;AC$1,#REF!,2,FALSE),"")</f>
        <v/>
      </c>
      <c r="AD2" s="4" t="str">
        <f>IFERROR(VLOOKUP($B2&amp;AD$1,#REF!,2,FALSE),"")</f>
        <v/>
      </c>
      <c r="AE2" s="3" t="str">
        <f>IFERROR(VALUE(IFERROR(VLOOKUP($B2&amp;AE$1,#REF!,2,FALSE),"")),IFERROR(VLOOKUP($B2&amp;AE$1,#REF!,2,FALSE),""))</f>
        <v/>
      </c>
      <c r="AF2" s="3" t="str">
        <f>IFERROR(VALUE(IFERROR(VLOOKUP($B2&amp;AF$1,#REF!,2,FALSE),"")),IFERROR(VLOOKUP($B2&amp;AF$1,#REF!,2,FALSE),""))</f>
        <v/>
      </c>
      <c r="AG2" s="3" t="str">
        <f>IFERROR(VALUE(IFERROR(VLOOKUP($B2&amp;AG$1,#REF!,2,FALSE),"")),IFERROR(VLOOKUP($B2&amp;AG$1,#REF!,2,FALSE),""))</f>
        <v/>
      </c>
      <c r="AH2" s="3" t="str">
        <f>IFERROR(VALUE(IFERROR(VLOOKUP($B2&amp;AH$1,#REF!,2,FALSE),"")),IFERROR(VLOOKUP($B2&amp;AH$1,#REF!,2,FALSE),""))</f>
        <v/>
      </c>
      <c r="AI2" s="3" t="str">
        <f>IFERROR(VALUE(IFERROR(VLOOKUP($B2&amp;AI$1,#REF!,2,FALSE),"")),IFERROR(VLOOKUP($B2&amp;AI$1,#REF!,2,FALSE),""))</f>
        <v/>
      </c>
      <c r="AJ2" s="3" t="str">
        <f>IFERROR(VALUE(IFERROR(VLOOKUP($B2&amp;AJ$1,#REF!,2,FALSE),"")),IFERROR(VLOOKUP($B2&amp;AJ$1,#REF!,2,FALSE),""))</f>
        <v/>
      </c>
      <c r="AK2" s="3" t="str">
        <f>IFERROR(VALUE(IFERROR(VLOOKUP($B2&amp;AK$1,#REF!,2,FALSE),"")),IFERROR(VLOOKUP($B2&amp;AK$1,#REF!,2,FALSE),""))</f>
        <v/>
      </c>
      <c r="AL2" s="3" t="str">
        <f>IFERROR(VALUE(IFERROR(VLOOKUP($B2&amp;AL$1,#REF!,2,FALSE),"")),IFERROR(VLOOKUP($B2&amp;AL$1,#REF!,2,FALSE),""))</f>
        <v/>
      </c>
      <c r="AM2" s="3" t="str">
        <f>IFERROR(VALUE(IFERROR(VLOOKUP($B2&amp;AM$1,#REF!,2,FALSE),"")),IFERROR(VLOOKUP($B2&amp;AM$1,#REF!,2,FALSE),""))</f>
        <v/>
      </c>
      <c r="AN2" s="4" t="str">
        <f>IFERROR(VLOOKUP($B2&amp;AN$1,#REF!,2,FALSE),"")</f>
        <v/>
      </c>
      <c r="AO2" s="4" t="str">
        <f>IFERROR(VLOOKUP($B2&amp;AO$1,#REF!,2,FALSE),"")</f>
        <v/>
      </c>
      <c r="AP2" s="3" t="str">
        <f>IFERROR(VLOOKUP($B2&amp;AP$1,#REF!,2,FALSE),"")</f>
        <v/>
      </c>
    </row>
    <row r="3" spans="1:42" ht="28.3">
      <c r="A3" s="3" t="str">
        <f>VLOOKUP(B3,IDS!$B:$D,2,FALSE)</f>
        <v>61747121-05d1-4216-8c22-06dcc958e7a3</v>
      </c>
      <c r="B3" s="3" t="str">
        <f>IDS!B3</f>
        <v>ec979e5e-270f-41dd-9ea4-de77431a423a</v>
      </c>
      <c r="E3" s="3" t="str">
        <f>IFERROR(VALUE(IFERROR(VLOOKUP($B3&amp;E$1,#REF!,2,FALSE),"")),IFERROR(VLOOKUP($B3&amp;E$1,#REF!,2,FALSE),""))</f>
        <v/>
      </c>
      <c r="F3" s="3" t="str">
        <f>IFERROR(VLOOKUP($B3&amp;F$1,#REF!,2,FALSE),"")</f>
        <v/>
      </c>
      <c r="G3" s="3" t="str">
        <f>IDS!D3</f>
        <v>Protector of Lórien</v>
      </c>
      <c r="H3" s="3" t="str">
        <f>IFERROR(VLOOKUP($B3&amp;H$1,#REF!,2,FALSE),"")</f>
        <v/>
      </c>
      <c r="I3" s="3" t="str">
        <f>IFERROR(VLOOKUP($B3&amp;I$1,#REF!,2,FALSE),"")</f>
        <v/>
      </c>
      <c r="J3" s="3" t="str">
        <f>IFERROR(VLOOKUP($B3&amp;J$1,#REF!,2,FALSE),"")</f>
        <v/>
      </c>
      <c r="K3" s="3" t="str">
        <f>IFERROR(VLOOKUP($B3&amp;K$1,#REF!,2,FALSE),"")</f>
        <v/>
      </c>
      <c r="L3" s="4" t="str">
        <f>IFERROR(VLOOKUP($B3&amp;L$1,#REF!,2,FALSE),"")</f>
        <v/>
      </c>
      <c r="M3" s="3" t="str">
        <f>IFERROR(VALUE(IFERROR(VLOOKUP($B3&amp;M$1,#REF!,2,FALSE),"")),IFERROR(VLOOKUP($B3&amp;M$1,#REF!,2,FALSE),""))</f>
        <v/>
      </c>
      <c r="N3" s="3" t="str">
        <f>IFERROR(VALUE(IFERROR(VLOOKUP($B3&amp;N$1,#REF!,2,FALSE),"")),IFERROR(VLOOKUP($B3&amp;N$1,#REF!,2,FALSE),""))</f>
        <v/>
      </c>
      <c r="O3" s="3" t="str">
        <f>IFERROR(VALUE(IFERROR(VLOOKUP($B3&amp;O$1,#REF!,2,FALSE),"")),IFERROR(VLOOKUP($B3&amp;O$1,#REF!,2,FALSE),""))</f>
        <v/>
      </c>
      <c r="P3" s="3" t="str">
        <f>IFERROR(VALUE(IFERROR(VLOOKUP($B3&amp;P$1,#REF!,2,FALSE),"")),IFERROR(VLOOKUP($B3&amp;P$1,#REF!,2,FALSE),""))</f>
        <v/>
      </c>
      <c r="Q3" s="3" t="str">
        <f>IFERROR(VALUE(IFERROR(VLOOKUP($B3&amp;Q$1,#REF!,2,FALSE),"")),IFERROR(VLOOKUP($B3&amp;Q$1,#REF!,2,FALSE),""))</f>
        <v/>
      </c>
      <c r="R3" s="3" t="str">
        <f>IFERROR(VALUE(IFERROR(VLOOKUP($B3&amp;R$1,#REF!,2,FALSE),"")),IFERROR(VLOOKUP($B3&amp;R$1,#REF!,2,FALSE),""))</f>
        <v/>
      </c>
      <c r="S3" s="3" t="str">
        <f>IFERROR(VALUE(IFERROR(VLOOKUP($B3&amp;S$1,#REF!,2,FALSE),"")),IFERROR(VLOOKUP($B3&amp;S$1,#REF!,2,FALSE),""))</f>
        <v/>
      </c>
      <c r="T3" s="3" t="str">
        <f>IFERROR(VALUE(IFERROR(VLOOKUP($B3&amp;T$1,#REF!,2,FALSE),"")),IFERROR(VLOOKUP($B3&amp;T$1,#REF!,2,FALSE),""))</f>
        <v/>
      </c>
      <c r="U3" s="3" t="str">
        <f>IFERROR(VALUE(IFERROR(VLOOKUP($B3&amp;U$1,#REF!,2,FALSE),"")),IFERROR(VLOOKUP($B3&amp;U$1,#REF!,2,FALSE),""))</f>
        <v/>
      </c>
      <c r="V3" s="4" t="str">
        <f>IFERROR(VLOOKUP($B3&amp;V$1,#REF!,2,FALSE),"")</f>
        <v/>
      </c>
      <c r="W3" s="4" t="str">
        <f>IFERROR(VLOOKUP($B3&amp;W$1,#REF!,2,FALSE),"")</f>
        <v/>
      </c>
      <c r="X3" s="3" t="str">
        <f>IFERROR(VLOOKUP($B3&amp;X$1,#REF!,2,FALSE),"")</f>
        <v/>
      </c>
      <c r="Y3" s="3" t="str">
        <f>IFERROR(VLOOKUP(B3,IDS!$F:$G,2,FALSE),"")</f>
        <v/>
      </c>
      <c r="Z3" s="3" t="str">
        <f>IFERROR(VLOOKUP($B3&amp;Z$1,#REF!,2,FALSE),"")</f>
        <v/>
      </c>
      <c r="AA3" s="3" t="str">
        <f>IFERROR(VLOOKUP($B3&amp;AA$1,#REF!,2,FALSE),"")</f>
        <v/>
      </c>
      <c r="AB3" s="3" t="str">
        <f>IFERROR(VLOOKUP($B3&amp;AB$1,#REF!,2,FALSE),"")</f>
        <v/>
      </c>
      <c r="AC3" s="3" t="str">
        <f>IFERROR(VLOOKUP($B3&amp;AC$1,#REF!,2,FALSE),"")</f>
        <v/>
      </c>
      <c r="AD3" s="4" t="str">
        <f>IFERROR(VLOOKUP($B3&amp;AD$1,#REF!,2,FALSE),"")</f>
        <v/>
      </c>
      <c r="AE3" s="3" t="str">
        <f>IFERROR(VALUE(IFERROR(VLOOKUP($B3&amp;AE$1,#REF!,2,FALSE),"")),IFERROR(VLOOKUP($B3&amp;AE$1,#REF!,2,FALSE),""))</f>
        <v/>
      </c>
      <c r="AF3" s="3" t="str">
        <f>IFERROR(VALUE(IFERROR(VLOOKUP($B3&amp;AF$1,#REF!,2,FALSE),"")),IFERROR(VLOOKUP($B3&amp;AF$1,#REF!,2,FALSE),""))</f>
        <v/>
      </c>
      <c r="AG3" s="3" t="str">
        <f>IFERROR(VALUE(IFERROR(VLOOKUP($B3&amp;AG$1,#REF!,2,FALSE),"")),IFERROR(VLOOKUP($B3&amp;AG$1,#REF!,2,FALSE),""))</f>
        <v/>
      </c>
      <c r="AH3" s="3" t="str">
        <f>IFERROR(VALUE(IFERROR(VLOOKUP($B3&amp;AH$1,#REF!,2,FALSE),"")),IFERROR(VLOOKUP($B3&amp;AH$1,#REF!,2,FALSE),""))</f>
        <v/>
      </c>
      <c r="AI3" s="3" t="str">
        <f>IFERROR(VALUE(IFERROR(VLOOKUP($B3&amp;AI$1,#REF!,2,FALSE),"")),IFERROR(VLOOKUP($B3&amp;AI$1,#REF!,2,FALSE),""))</f>
        <v/>
      </c>
      <c r="AJ3" s="3" t="str">
        <f>IFERROR(VALUE(IFERROR(VLOOKUP($B3&amp;AJ$1,#REF!,2,FALSE),"")),IFERROR(VLOOKUP($B3&amp;AJ$1,#REF!,2,FALSE),""))</f>
        <v/>
      </c>
      <c r="AK3" s="3" t="str">
        <f>IFERROR(VALUE(IFERROR(VLOOKUP($B3&amp;AK$1,#REF!,2,FALSE),"")),IFERROR(VLOOKUP($B3&amp;AK$1,#REF!,2,FALSE),""))</f>
        <v/>
      </c>
      <c r="AL3" s="3" t="str">
        <f>IFERROR(VALUE(IFERROR(VLOOKUP($B3&amp;AL$1,#REF!,2,FALSE),"")),IFERROR(VLOOKUP($B3&amp;AL$1,#REF!,2,FALSE),""))</f>
        <v/>
      </c>
      <c r="AM3" s="3" t="str">
        <f>IFERROR(VALUE(IFERROR(VLOOKUP($B3&amp;AM$1,#REF!,2,FALSE),"")),IFERROR(VLOOKUP($B3&amp;AM$1,#REF!,2,FALSE),""))</f>
        <v/>
      </c>
      <c r="AN3" s="4" t="str">
        <f>IFERROR(VLOOKUP($B3&amp;AN$1,#REF!,2,FALSE),"")</f>
        <v/>
      </c>
      <c r="AO3" s="4" t="str">
        <f>IFERROR(VLOOKUP($B3&amp;AO$1,#REF!,2,FALSE),"")</f>
        <v/>
      </c>
      <c r="AP3" s="3" t="str">
        <f>IFERROR(VLOOKUP($B3&amp;AP$1,#REF!,2,FALSE),"")</f>
        <v/>
      </c>
    </row>
    <row r="4" spans="1:42" ht="28.3">
      <c r="A4" s="3" t="str">
        <f>VLOOKUP(B4,IDS!$B:$D,2,FALSE)</f>
        <v>61747121-05d1-4216-8c22-06dcc958e7a3</v>
      </c>
      <c r="B4" s="3" t="str">
        <f>IDS!B4</f>
        <v>13c9bc79-dee5-47a6-8649-ddff6a753bf6</v>
      </c>
      <c r="E4" s="3" t="str">
        <f>IFERROR(VALUE(IFERROR(VLOOKUP($B4&amp;E$1,#REF!,2,FALSE),"")),IFERROR(VLOOKUP($B4&amp;E$1,#REF!,2,FALSE),""))</f>
        <v/>
      </c>
      <c r="F4" s="3" t="str">
        <f>IFERROR(VLOOKUP($B4&amp;F$1,#REF!,2,FALSE),"")</f>
        <v/>
      </c>
      <c r="G4" s="3" t="str">
        <f>IDS!D4</f>
        <v>Ungoliant's Spawn</v>
      </c>
      <c r="H4" s="3" t="str">
        <f>IFERROR(VLOOKUP($B4&amp;H$1,#REF!,2,FALSE),"")</f>
        <v/>
      </c>
      <c r="I4" s="3" t="str">
        <f>IFERROR(VLOOKUP($B4&amp;I$1,#REF!,2,FALSE),"")</f>
        <v/>
      </c>
      <c r="J4" s="3" t="str">
        <f>IFERROR(VLOOKUP($B4&amp;J$1,#REF!,2,FALSE),"")</f>
        <v/>
      </c>
      <c r="K4" s="3" t="str">
        <f>IFERROR(VLOOKUP($B4&amp;K$1,#REF!,2,FALSE),"")</f>
        <v/>
      </c>
      <c r="L4" s="4" t="str">
        <f>IFERROR(VLOOKUP($B4&amp;L$1,#REF!,2,FALSE),"")</f>
        <v/>
      </c>
      <c r="M4" s="3" t="str">
        <f>IFERROR(VALUE(IFERROR(VLOOKUP($B4&amp;M$1,#REF!,2,FALSE),"")),IFERROR(VLOOKUP($B4&amp;M$1,#REF!,2,FALSE),""))</f>
        <v/>
      </c>
      <c r="N4" s="3" t="str">
        <f>IFERROR(VALUE(IFERROR(VLOOKUP($B4&amp;N$1,#REF!,2,FALSE),"")),IFERROR(VLOOKUP($B4&amp;N$1,#REF!,2,FALSE),""))</f>
        <v/>
      </c>
      <c r="O4" s="3" t="str">
        <f>IFERROR(VALUE(IFERROR(VLOOKUP($B4&amp;O$1,#REF!,2,FALSE),"")),IFERROR(VLOOKUP($B4&amp;O$1,#REF!,2,FALSE),""))</f>
        <v/>
      </c>
      <c r="P4" s="3" t="str">
        <f>IFERROR(VALUE(IFERROR(VLOOKUP($B4&amp;P$1,#REF!,2,FALSE),"")),IFERROR(VLOOKUP($B4&amp;P$1,#REF!,2,FALSE),""))</f>
        <v/>
      </c>
      <c r="Q4" s="3" t="str">
        <f>IFERROR(VALUE(IFERROR(VLOOKUP($B4&amp;Q$1,#REF!,2,FALSE),"")),IFERROR(VLOOKUP($B4&amp;Q$1,#REF!,2,FALSE),""))</f>
        <v/>
      </c>
      <c r="R4" s="3" t="str">
        <f>IFERROR(VALUE(IFERROR(VLOOKUP($B4&amp;R$1,#REF!,2,FALSE),"")),IFERROR(VLOOKUP($B4&amp;R$1,#REF!,2,FALSE),""))</f>
        <v/>
      </c>
      <c r="S4" s="3" t="str">
        <f>IFERROR(VALUE(IFERROR(VLOOKUP($B4&amp;S$1,#REF!,2,FALSE),"")),IFERROR(VLOOKUP($B4&amp;S$1,#REF!,2,FALSE),""))</f>
        <v/>
      </c>
      <c r="T4" s="3" t="str">
        <f>IFERROR(VALUE(IFERROR(VLOOKUP($B4&amp;T$1,#REF!,2,FALSE),"")),IFERROR(VLOOKUP($B4&amp;T$1,#REF!,2,FALSE),""))</f>
        <v/>
      </c>
      <c r="U4" s="3" t="str">
        <f>IFERROR(VALUE(IFERROR(VLOOKUP($B4&amp;U$1,#REF!,2,FALSE),"")),IFERROR(VLOOKUP($B4&amp;U$1,#REF!,2,FALSE),""))</f>
        <v/>
      </c>
      <c r="V4" s="4" t="str">
        <f>IFERROR(VLOOKUP($B4&amp;V$1,#REF!,2,FALSE),"")</f>
        <v/>
      </c>
      <c r="W4" s="4" t="str">
        <f>IFERROR(VLOOKUP($B4&amp;W$1,#REF!,2,FALSE),"")</f>
        <v/>
      </c>
      <c r="X4" s="3" t="str">
        <f>IFERROR(VLOOKUP($B4&amp;X$1,#REF!,2,FALSE),"")</f>
        <v/>
      </c>
      <c r="Y4" s="3" t="str">
        <f>IFERROR(VLOOKUP(B4,IDS!$F:$G,2,FALSE),"")</f>
        <v/>
      </c>
      <c r="Z4" s="3" t="str">
        <f>IFERROR(VLOOKUP($B4&amp;Z$1,#REF!,2,FALSE),"")</f>
        <v/>
      </c>
      <c r="AA4" s="3" t="str">
        <f>IFERROR(VLOOKUP($B4&amp;AA$1,#REF!,2,FALSE),"")</f>
        <v/>
      </c>
      <c r="AB4" s="3" t="str">
        <f>IFERROR(VLOOKUP($B4&amp;AB$1,#REF!,2,FALSE),"")</f>
        <v/>
      </c>
      <c r="AC4" s="3" t="str">
        <f>IFERROR(VLOOKUP($B4&amp;AC$1,#REF!,2,FALSE),"")</f>
        <v/>
      </c>
      <c r="AD4" s="4" t="str">
        <f>IFERROR(VLOOKUP($B4&amp;AD$1,#REF!,2,FALSE),"")</f>
        <v/>
      </c>
      <c r="AE4" s="3" t="str">
        <f>IFERROR(VALUE(IFERROR(VLOOKUP($B4&amp;AE$1,#REF!,2,FALSE),"")),IFERROR(VLOOKUP($B4&amp;AE$1,#REF!,2,FALSE),""))</f>
        <v/>
      </c>
      <c r="AF4" s="3" t="str">
        <f>IFERROR(VALUE(IFERROR(VLOOKUP($B4&amp;AF$1,#REF!,2,FALSE),"")),IFERROR(VLOOKUP($B4&amp;AF$1,#REF!,2,FALSE),""))</f>
        <v/>
      </c>
      <c r="AG4" s="3" t="str">
        <f>IFERROR(VALUE(IFERROR(VLOOKUP($B4&amp;AG$1,#REF!,2,FALSE),"")),IFERROR(VLOOKUP($B4&amp;AG$1,#REF!,2,FALSE),""))</f>
        <v/>
      </c>
      <c r="AH4" s="3" t="str">
        <f>IFERROR(VALUE(IFERROR(VLOOKUP($B4&amp;AH$1,#REF!,2,FALSE),"")),IFERROR(VLOOKUP($B4&amp;AH$1,#REF!,2,FALSE),""))</f>
        <v/>
      </c>
      <c r="AI4" s="3" t="str">
        <f>IFERROR(VALUE(IFERROR(VLOOKUP($B4&amp;AI$1,#REF!,2,FALSE),"")),IFERROR(VLOOKUP($B4&amp;AI$1,#REF!,2,FALSE),""))</f>
        <v/>
      </c>
      <c r="AJ4" s="3" t="str">
        <f>IFERROR(VALUE(IFERROR(VLOOKUP($B4&amp;AJ$1,#REF!,2,FALSE),"")),IFERROR(VLOOKUP($B4&amp;AJ$1,#REF!,2,FALSE),""))</f>
        <v/>
      </c>
      <c r="AK4" s="3" t="str">
        <f>IFERROR(VALUE(IFERROR(VLOOKUP($B4&amp;AK$1,#REF!,2,FALSE),"")),IFERROR(VLOOKUP($B4&amp;AK$1,#REF!,2,FALSE),""))</f>
        <v/>
      </c>
      <c r="AL4" s="3" t="str">
        <f>IFERROR(VALUE(IFERROR(VLOOKUP($B4&amp;AL$1,#REF!,2,FALSE),"")),IFERROR(VLOOKUP($B4&amp;AL$1,#REF!,2,FALSE),""))</f>
        <v/>
      </c>
      <c r="AM4" s="3" t="str">
        <f>IFERROR(VALUE(IFERROR(VLOOKUP($B4&amp;AM$1,#REF!,2,FALSE),"")),IFERROR(VLOOKUP($B4&amp;AM$1,#REF!,2,FALSE),""))</f>
        <v/>
      </c>
      <c r="AN4" s="4" t="str">
        <f>IFERROR(VLOOKUP($B4&amp;AN$1,#REF!,2,FALSE),"")</f>
        <v/>
      </c>
      <c r="AO4" s="4" t="str">
        <f>IFERROR(VLOOKUP($B4&amp;AO$1,#REF!,2,FALSE),"")</f>
        <v/>
      </c>
      <c r="AP4" s="3" t="str">
        <f>IFERROR(VLOOKUP($B4&amp;AP$1,#REF!,2,FALSE),"")</f>
        <v/>
      </c>
    </row>
    <row r="5" spans="1:42">
      <c r="A5" s="3" t="str">
        <f>VLOOKUP(B5,IDS!$B:$D,2,FALSE)</f>
        <v>61747121-05d1-4216-8c22-06dcc958e7a3</v>
      </c>
      <c r="B5" s="3" t="str">
        <f>IDS!B5</f>
        <v>bff0cd7a-8fe5-4d18-91e9-d3dbf885b01c</v>
      </c>
      <c r="E5" s="3" t="str">
        <f>IFERROR(VALUE(IFERROR(VLOOKUP($B5&amp;E$1,#REF!,2,FALSE),"")),IFERROR(VLOOKUP($B5&amp;E$1,#REF!,2,FALSE),""))</f>
        <v/>
      </c>
      <c r="F5" s="3" t="str">
        <f>IFERROR(VLOOKUP($B5&amp;F$1,#REF!,2,FALSE),"")</f>
        <v/>
      </c>
      <c r="G5" s="3" t="str">
        <f>IDS!D5</f>
        <v>Great Forest Web</v>
      </c>
      <c r="H5" s="3" t="str">
        <f>IFERROR(VLOOKUP($B5&amp;H$1,#REF!,2,FALSE),"")</f>
        <v/>
      </c>
      <c r="I5" s="3" t="str">
        <f>IFERROR(VLOOKUP($B5&amp;I$1,#REF!,2,FALSE),"")</f>
        <v/>
      </c>
      <c r="J5" s="3" t="str">
        <f>IFERROR(VLOOKUP($B5&amp;J$1,#REF!,2,FALSE),"")</f>
        <v/>
      </c>
      <c r="K5" s="3" t="str">
        <f>IFERROR(VLOOKUP($B5&amp;K$1,#REF!,2,FALSE),"")</f>
        <v/>
      </c>
      <c r="L5" s="4" t="str">
        <f>IFERROR(VLOOKUP($B5&amp;L$1,#REF!,2,FALSE),"")</f>
        <v/>
      </c>
      <c r="M5" s="3" t="str">
        <f>IFERROR(VALUE(IFERROR(VLOOKUP($B5&amp;M$1,#REF!,2,FALSE),"")),IFERROR(VLOOKUP($B5&amp;M$1,#REF!,2,FALSE),""))</f>
        <v/>
      </c>
      <c r="N5" s="3" t="str">
        <f>IFERROR(VALUE(IFERROR(VLOOKUP($B5&amp;N$1,#REF!,2,FALSE),"")),IFERROR(VLOOKUP($B5&amp;N$1,#REF!,2,FALSE),""))</f>
        <v/>
      </c>
      <c r="O5" s="3" t="str">
        <f>IFERROR(VALUE(IFERROR(VLOOKUP($B5&amp;O$1,#REF!,2,FALSE),"")),IFERROR(VLOOKUP($B5&amp;O$1,#REF!,2,FALSE),""))</f>
        <v/>
      </c>
      <c r="P5" s="3" t="str">
        <f>IFERROR(VALUE(IFERROR(VLOOKUP($B5&amp;P$1,#REF!,2,FALSE),"")),IFERROR(VLOOKUP($B5&amp;P$1,#REF!,2,FALSE),""))</f>
        <v/>
      </c>
      <c r="Q5" s="3" t="str">
        <f>IFERROR(VALUE(IFERROR(VLOOKUP($B5&amp;Q$1,#REF!,2,FALSE),"")),IFERROR(VLOOKUP($B5&amp;Q$1,#REF!,2,FALSE),""))</f>
        <v/>
      </c>
      <c r="R5" s="3" t="str">
        <f>IFERROR(VALUE(IFERROR(VLOOKUP($B5&amp;R$1,#REF!,2,FALSE),"")),IFERROR(VLOOKUP($B5&amp;R$1,#REF!,2,FALSE),""))</f>
        <v/>
      </c>
      <c r="S5" s="3" t="str">
        <f>IFERROR(VALUE(IFERROR(VLOOKUP($B5&amp;S$1,#REF!,2,FALSE),"")),IFERROR(VLOOKUP($B5&amp;S$1,#REF!,2,FALSE),""))</f>
        <v/>
      </c>
      <c r="T5" s="3" t="str">
        <f>IFERROR(VALUE(IFERROR(VLOOKUP($B5&amp;T$1,#REF!,2,FALSE),"")),IFERROR(VLOOKUP($B5&amp;T$1,#REF!,2,FALSE),""))</f>
        <v/>
      </c>
      <c r="U5" s="3" t="str">
        <f>IFERROR(VALUE(IFERROR(VLOOKUP($B5&amp;U$1,#REF!,2,FALSE),"")),IFERROR(VLOOKUP($B5&amp;U$1,#REF!,2,FALSE),""))</f>
        <v/>
      </c>
      <c r="V5" s="4" t="str">
        <f>IFERROR(VLOOKUP($B5&amp;V$1,#REF!,2,FALSE),"")</f>
        <v/>
      </c>
      <c r="W5" s="4" t="str">
        <f>IFERROR(VLOOKUP($B5&amp;W$1,#REF!,2,FALSE),"")</f>
        <v/>
      </c>
      <c r="X5" s="3" t="str">
        <f>IFERROR(VLOOKUP($B5&amp;X$1,#REF!,2,FALSE),"")</f>
        <v/>
      </c>
      <c r="Y5" s="3" t="str">
        <f>IFERROR(VLOOKUP(B5,IDS!$F:$G,2,FALSE),"")</f>
        <v/>
      </c>
      <c r="Z5" s="3" t="str">
        <f>IFERROR(VLOOKUP($B5&amp;Z$1,#REF!,2,FALSE),"")</f>
        <v/>
      </c>
      <c r="AA5" s="3" t="str">
        <f>IFERROR(VLOOKUP($B5&amp;AA$1,#REF!,2,FALSE),"")</f>
        <v/>
      </c>
      <c r="AB5" s="3" t="str">
        <f>IFERROR(VLOOKUP($B5&amp;AB$1,#REF!,2,FALSE),"")</f>
        <v/>
      </c>
      <c r="AC5" s="3" t="str">
        <f>IFERROR(VLOOKUP($B5&amp;AC$1,#REF!,2,FALSE),"")</f>
        <v/>
      </c>
      <c r="AD5" s="4" t="str">
        <f>IFERROR(VLOOKUP($B5&amp;AD$1,#REF!,2,FALSE),"")</f>
        <v/>
      </c>
      <c r="AE5" s="3" t="str">
        <f>IFERROR(VALUE(IFERROR(VLOOKUP($B5&amp;AE$1,#REF!,2,FALSE),"")),IFERROR(VLOOKUP($B5&amp;AE$1,#REF!,2,FALSE),""))</f>
        <v/>
      </c>
      <c r="AF5" s="3" t="str">
        <f>IFERROR(VALUE(IFERROR(VLOOKUP($B5&amp;AF$1,#REF!,2,FALSE),"")),IFERROR(VLOOKUP($B5&amp;AF$1,#REF!,2,FALSE),""))</f>
        <v/>
      </c>
      <c r="AG5" s="3" t="str">
        <f>IFERROR(VALUE(IFERROR(VLOOKUP($B5&amp;AG$1,#REF!,2,FALSE),"")),IFERROR(VLOOKUP($B5&amp;AG$1,#REF!,2,FALSE),""))</f>
        <v/>
      </c>
      <c r="AH5" s="3" t="str">
        <f>IFERROR(VALUE(IFERROR(VLOOKUP($B5&amp;AH$1,#REF!,2,FALSE),"")),IFERROR(VLOOKUP($B5&amp;AH$1,#REF!,2,FALSE),""))</f>
        <v/>
      </c>
      <c r="AI5" s="3" t="str">
        <f>IFERROR(VALUE(IFERROR(VLOOKUP($B5&amp;AI$1,#REF!,2,FALSE),"")),IFERROR(VLOOKUP($B5&amp;AI$1,#REF!,2,FALSE),""))</f>
        <v/>
      </c>
      <c r="AJ5" s="3" t="str">
        <f>IFERROR(VALUE(IFERROR(VLOOKUP($B5&amp;AJ$1,#REF!,2,FALSE),"")),IFERROR(VLOOKUP($B5&amp;AJ$1,#REF!,2,FALSE),""))</f>
        <v/>
      </c>
      <c r="AK5" s="3" t="str">
        <f>IFERROR(VALUE(IFERROR(VLOOKUP($B5&amp;AK$1,#REF!,2,FALSE),"")),IFERROR(VLOOKUP($B5&amp;AK$1,#REF!,2,FALSE),""))</f>
        <v/>
      </c>
      <c r="AL5" s="3" t="str">
        <f>IFERROR(VALUE(IFERROR(VLOOKUP($B5&amp;AL$1,#REF!,2,FALSE),"")),IFERROR(VLOOKUP($B5&amp;AL$1,#REF!,2,FALSE),""))</f>
        <v/>
      </c>
      <c r="AM5" s="3" t="str">
        <f>IFERROR(VALUE(IFERROR(VLOOKUP($B5&amp;AM$1,#REF!,2,FALSE),"")),IFERROR(VLOOKUP($B5&amp;AM$1,#REF!,2,FALSE),""))</f>
        <v/>
      </c>
      <c r="AN5" s="4" t="str">
        <f>IFERROR(VLOOKUP($B5&amp;AN$1,#REF!,2,FALSE),"")</f>
        <v/>
      </c>
      <c r="AO5" s="4" t="str">
        <f>IFERROR(VLOOKUP($B5&amp;AO$1,#REF!,2,FALSE),"")</f>
        <v/>
      </c>
      <c r="AP5" s="3" t="str">
        <f>IFERROR(VLOOKUP($B5&amp;AP$1,#REF!,2,FALSE),"")</f>
        <v/>
      </c>
    </row>
    <row r="6" spans="1:42" ht="155.6">
      <c r="A6" s="3" t="str">
        <f>VLOOKUP(B6,IDS!$B:$D,2,FALSE)</f>
        <v>61747121-05d1-4216-8c22-06dcc958e7a3</v>
      </c>
      <c r="B6" s="3" t="str">
        <f>IDS!B6</f>
        <v>86a8cb61-a4d2-40f7-82a7-adfe5a835acd</v>
      </c>
      <c r="E6" s="3" t="str">
        <f>IFERROR(VALUE(IFERROR(VLOOKUP($B6&amp;E$1,#REF!,2,FALSE),"")),IFERROR(VLOOKUP($B6&amp;E$1,#REF!,2,FALSE),""))</f>
        <v/>
      </c>
      <c r="F6" s="3" t="str">
        <f>IFERROR(VLOOKUP($B6&amp;F$1,#REF!,2,FALSE),"")</f>
        <v/>
      </c>
      <c r="G6" s="3" t="str">
        <f>IDS!D6</f>
        <v>The Necromancer's Tower - 1A</v>
      </c>
      <c r="H6" s="3" t="str">
        <f>IFERROR(VLOOKUP($B6&amp;H$1,#REF!,2,FALSE),"")</f>
        <v/>
      </c>
      <c r="I6" s="3" t="str">
        <f>IFERROR(VLOOKUP($B6&amp;I$1,#REF!,2,FALSE),"")</f>
        <v/>
      </c>
      <c r="J6" s="3" t="str">
        <f>IFERROR(VLOOKUP($B6&amp;J$1,#REF!,2,FALSE),"")</f>
        <v/>
      </c>
      <c r="K6" s="3" t="str">
        <f>IFERROR(VLOOKUP($B6&amp;K$1,#REF!,2,FALSE),"")</f>
        <v/>
      </c>
      <c r="L6" s="4" t="str">
        <f>IFERROR(VLOOKUP($B6&amp;L$1,#REF!,2,FALSE),"")</f>
        <v/>
      </c>
      <c r="M6" s="3" t="str">
        <f>IFERROR(VALUE(IFERROR(VLOOKUP($B6&amp;M$1,#REF!,2,FALSE),"")),IFERROR(VLOOKUP($B6&amp;M$1,#REF!,2,FALSE),""))</f>
        <v/>
      </c>
      <c r="N6" s="3" t="str">
        <f>IFERROR(VALUE(IFERROR(VLOOKUP($B6&amp;N$1,#REF!,2,FALSE),"")),IFERROR(VLOOKUP($B6&amp;N$1,#REF!,2,FALSE),""))</f>
        <v/>
      </c>
      <c r="O6" s="3" t="str">
        <f>IFERROR(VALUE(IFERROR(VLOOKUP($B6&amp;O$1,#REF!,2,FALSE),"")),IFERROR(VLOOKUP($B6&amp;O$1,#REF!,2,FALSE),""))</f>
        <v/>
      </c>
      <c r="P6" s="3" t="str">
        <f>IFERROR(VALUE(IFERROR(VLOOKUP($B6&amp;P$1,#REF!,2,FALSE),"")),IFERROR(VLOOKUP($B6&amp;P$1,#REF!,2,FALSE),""))</f>
        <v/>
      </c>
      <c r="Q6" s="3" t="str">
        <f>IFERROR(VALUE(IFERROR(VLOOKUP($B6&amp;Q$1,#REF!,2,FALSE),"")),IFERROR(VLOOKUP($B6&amp;Q$1,#REF!,2,FALSE),""))</f>
        <v/>
      </c>
      <c r="R6" s="3" t="str">
        <f>IFERROR(VALUE(IFERROR(VLOOKUP($B6&amp;R$1,#REF!,2,FALSE),"")),IFERROR(VLOOKUP($B6&amp;R$1,#REF!,2,FALSE),""))</f>
        <v/>
      </c>
      <c r="S6" s="3" t="str">
        <f>IFERROR(VALUE(IFERROR(VLOOKUP($B6&amp;S$1,#REF!,2,FALSE),"")),IFERROR(VLOOKUP($B6&amp;S$1,#REF!,2,FALSE),""))</f>
        <v/>
      </c>
      <c r="T6" s="3" t="str">
        <f>IFERROR(VALUE(IFERROR(VLOOKUP($B6&amp;T$1,#REF!,2,FALSE),"")),IFERROR(VLOOKUP($B6&amp;T$1,#REF!,2,FALSE),""))</f>
        <v/>
      </c>
      <c r="U6" s="3" t="str">
        <f>IFERROR(VALUE(IFERROR(VLOOKUP($B6&amp;U$1,#REF!,2,FALSE),"")),IFERROR(VLOOKUP($B6&amp;U$1,#REF!,2,FALSE),""))</f>
        <v/>
      </c>
      <c r="V6" s="4" t="str">
        <f>IFERROR(VLOOKUP($B6&amp;V$1,#REF!,2,FALSE),"")</f>
        <v/>
      </c>
      <c r="W6" s="4" t="str">
        <f>IFERROR(VLOOKUP($B6&amp;W$1,#REF!,2,FALSE),"")</f>
        <v/>
      </c>
      <c r="X6" s="3" t="str">
        <f>IFERROR(VLOOKUP($B6&amp;X$1,#REF!,2,FALSE),"")</f>
        <v/>
      </c>
      <c r="Y6" s="3" t="str">
        <f>IFERROR(VLOOKUP(B6,IDS!$F:$G,2,FALSE),"")</f>
        <v>The Necromancer's Tower - 1B</v>
      </c>
      <c r="Z6" s="3" t="str">
        <f>IFERROR(VLOOKUP($B6&amp;Z$1,#REF!,2,FALSE),"")</f>
        <v/>
      </c>
      <c r="AA6" s="3" t="str">
        <f>IFERROR(VLOOKUP($B6&amp;AA$1,#REF!,2,FALSE),"")</f>
        <v/>
      </c>
      <c r="AB6" s="3" t="str">
        <f>IFERROR(VLOOKUP($B6&amp;AB$1,#REF!,2,FALSE),"")</f>
        <v/>
      </c>
      <c r="AC6" s="3" t="str">
        <f>IFERROR(VLOOKUP($B6&amp;AC$1,#REF!,2,FALSE),"")</f>
        <v/>
      </c>
      <c r="AD6" s="4" t="str">
        <f>IFERROR(VLOOKUP($B6&amp;AD$1,#REF!,2,FALSE),"")</f>
        <v/>
      </c>
      <c r="AE6" s="3" t="str">
        <f>IFERROR(VALUE(IFERROR(VLOOKUP($B6&amp;AE$1,#REF!,2,FALSE),"")),IFERROR(VLOOKUP($B6&amp;AE$1,#REF!,2,FALSE),""))</f>
        <v/>
      </c>
      <c r="AF6" s="3" t="str">
        <f>IFERROR(VALUE(IFERROR(VLOOKUP($B6&amp;AF$1,#REF!,2,FALSE),"")),IFERROR(VLOOKUP($B6&amp;AF$1,#REF!,2,FALSE),""))</f>
        <v/>
      </c>
      <c r="AG6" s="3" t="str">
        <f>IFERROR(VALUE(IFERROR(VLOOKUP($B6&amp;AG$1,#REF!,2,FALSE),"")),IFERROR(VLOOKUP($B6&amp;AG$1,#REF!,2,FALSE),""))</f>
        <v/>
      </c>
      <c r="AH6" s="3" t="str">
        <f>IFERROR(VALUE(IFERROR(VLOOKUP($B6&amp;AH$1,#REF!,2,FALSE),"")),IFERROR(VLOOKUP($B6&amp;AH$1,#REF!,2,FALSE),""))</f>
        <v/>
      </c>
      <c r="AI6" s="3" t="str">
        <f>IFERROR(VALUE(IFERROR(VLOOKUP($B6&amp;AI$1,#REF!,2,FALSE),"")),IFERROR(VLOOKUP($B6&amp;AI$1,#REF!,2,FALSE),""))</f>
        <v/>
      </c>
      <c r="AJ6" s="3" t="str">
        <f>IFERROR(VALUE(IFERROR(VLOOKUP($B6&amp;AJ$1,#REF!,2,FALSE),"")),IFERROR(VLOOKUP($B6&amp;AJ$1,#REF!,2,FALSE),""))</f>
        <v/>
      </c>
      <c r="AK6" s="3" t="str">
        <f>IFERROR(VALUE(IFERROR(VLOOKUP($B6&amp;AK$1,#REF!,2,FALSE),"")),IFERROR(VLOOKUP($B6&amp;AK$1,#REF!,2,FALSE),""))</f>
        <v/>
      </c>
      <c r="AL6" s="3" t="str">
        <f>IFERROR(VALUE(IFERROR(VLOOKUP($B6&amp;AL$1,#REF!,2,FALSE),"")),IFERROR(VLOOKUP($B6&amp;AL$1,#REF!,2,FALSE),""))</f>
        <v/>
      </c>
      <c r="AM6" s="3" t="str">
        <f>IFERROR(VALUE(IFERROR(VLOOKUP($B6&amp;AM$1,#REF!,2,FALSE),"")),IFERROR(VLOOKUP($B6&amp;AM$1,#REF!,2,FALSE),""))</f>
        <v/>
      </c>
      <c r="AN6" s="4" t="str">
        <f>IFERROR(VLOOKUP($B6&amp;AN$1,#REF!,2,FALSE),"")</f>
        <v/>
      </c>
      <c r="AO6" s="4" t="str">
        <f>IFERROR(VLOOKUP($B6&amp;AO$1,#REF!,2,FALSE),"")</f>
        <v/>
      </c>
      <c r="AP6" s="3" t="str">
        <f>IFERROR(VLOOKUP($B6&amp;AP$1,#REF!,2,FALSE),"")</f>
        <v/>
      </c>
    </row>
    <row r="7" spans="1:42">
      <c r="Z7" s="3"/>
      <c r="AD7" s="4"/>
      <c r="AN7" s="4"/>
      <c r="AO7" s="4"/>
    </row>
    <row r="8" spans="1:42">
      <c r="Z8" s="3"/>
      <c r="AD8" s="4"/>
      <c r="AN8" s="4"/>
    </row>
    <row r="9" spans="1:42">
      <c r="Z9" s="3"/>
      <c r="AD9" s="4"/>
      <c r="AN9" s="4"/>
    </row>
    <row r="10" spans="1:42">
      <c r="Z10" s="3"/>
      <c r="AD10" s="4"/>
      <c r="AN10" s="4"/>
    </row>
    <row r="11" spans="1:42">
      <c r="Z11" s="3"/>
      <c r="AD11" s="4"/>
      <c r="AN11" s="4"/>
    </row>
    <row r="12" spans="1:42">
      <c r="Z12" s="3"/>
      <c r="AD12" s="4"/>
      <c r="AN12" s="4"/>
    </row>
    <row r="13" spans="1:42">
      <c r="Z13" s="3"/>
      <c r="AD13" s="4"/>
      <c r="AN13" s="4"/>
    </row>
    <row r="14" spans="1:42">
      <c r="Z14" s="3"/>
      <c r="AD14" s="4"/>
      <c r="AN14" s="4"/>
    </row>
    <row r="15" spans="1:42">
      <c r="Z15" s="3"/>
      <c r="AD15" s="4"/>
      <c r="AN15" s="4"/>
    </row>
    <row r="16" spans="1:42">
      <c r="Z16" s="3"/>
      <c r="AD16" s="4"/>
      <c r="AN16" s="4"/>
    </row>
    <row r="17" spans="26:40">
      <c r="Z17" s="3"/>
      <c r="AD17" s="4"/>
      <c r="AN17" s="4"/>
    </row>
    <row r="18" spans="26:40">
      <c r="Z18" s="3"/>
      <c r="AD18" s="4"/>
      <c r="AN18" s="4"/>
    </row>
    <row r="19" spans="26:40">
      <c r="Z19" s="3"/>
      <c r="AD19" s="4"/>
      <c r="AN19" s="4"/>
    </row>
    <row r="20" spans="26:40">
      <c r="Z20" s="3"/>
      <c r="AD20" s="4"/>
      <c r="AN20" s="4"/>
    </row>
    <row r="21" spans="26:40">
      <c r="Z21" s="3"/>
      <c r="AD21" s="4"/>
      <c r="AN21" s="4"/>
    </row>
    <row r="22" spans="26:40">
      <c r="Z22" s="3"/>
      <c r="AD22" s="4"/>
      <c r="AN22" s="4"/>
    </row>
    <row r="23" spans="26:40">
      <c r="Z23" s="3"/>
      <c r="AD23" s="4"/>
      <c r="AN23" s="4"/>
    </row>
    <row r="24" spans="26:40">
      <c r="Z24" s="3"/>
      <c r="AD24" s="4"/>
      <c r="AN24" s="4"/>
    </row>
    <row r="25" spans="26:40">
      <c r="Z25" s="3"/>
      <c r="AD25" s="4"/>
      <c r="AN25" s="4"/>
    </row>
    <row r="26" spans="26:40">
      <c r="Z26" s="3"/>
      <c r="AD26" s="4"/>
      <c r="AN26" s="4"/>
    </row>
    <row r="27" spans="26:40">
      <c r="Z27" s="3"/>
      <c r="AD27" s="4"/>
      <c r="AN27" s="4"/>
    </row>
    <row r="28" spans="26:40">
      <c r="Z28" s="3"/>
      <c r="AD28" s="4"/>
      <c r="AN28" s="4"/>
    </row>
    <row r="29" spans="26:40">
      <c r="Z29" s="3"/>
      <c r="AD29" s="4"/>
      <c r="AN29" s="4"/>
    </row>
    <row r="30" spans="26:40">
      <c r="Z30" s="3"/>
      <c r="AD30" s="4"/>
      <c r="AN30" s="4"/>
    </row>
    <row r="31" spans="26:40">
      <c r="Z31" s="3"/>
      <c r="AD31" s="4"/>
      <c r="AN31" s="4"/>
    </row>
    <row r="32" spans="26:40">
      <c r="Z32" s="3"/>
      <c r="AD32" s="4"/>
      <c r="AN32" s="4"/>
    </row>
    <row r="33" spans="26:40">
      <c r="Z33" s="3"/>
      <c r="AD33" s="4"/>
      <c r="AN33" s="4"/>
    </row>
    <row r="34" spans="26:40">
      <c r="Z34" s="3"/>
      <c r="AD34" s="4"/>
      <c r="AN34" s="4"/>
    </row>
    <row r="35" spans="26:40">
      <c r="Z35" s="3"/>
      <c r="AD35" s="4"/>
      <c r="AN35" s="4"/>
    </row>
    <row r="36" spans="26:40">
      <c r="Z36" s="3"/>
      <c r="AD36" s="4"/>
      <c r="AN36" s="4"/>
    </row>
    <row r="37" spans="26:40">
      <c r="Z37" s="3"/>
      <c r="AD37" s="4"/>
      <c r="AN37" s="4"/>
    </row>
    <row r="38" spans="26:40">
      <c r="Z38" s="3"/>
      <c r="AD38" s="4"/>
      <c r="AN38" s="4"/>
    </row>
    <row r="39" spans="26:40">
      <c r="Z39" s="3"/>
      <c r="AD39" s="4"/>
      <c r="AN39" s="4"/>
    </row>
    <row r="40" spans="26:40">
      <c r="Z40" s="3"/>
      <c r="AD40" s="4"/>
      <c r="AN40" s="4"/>
    </row>
    <row r="41" spans="26:40">
      <c r="Z41" s="3"/>
      <c r="AD41" s="4"/>
      <c r="AN41" s="4"/>
    </row>
    <row r="42" spans="26:40">
      <c r="Z42" s="3"/>
      <c r="AD42" s="4"/>
      <c r="AN42" s="4"/>
    </row>
    <row r="43" spans="26:40">
      <c r="Z43" s="3"/>
      <c r="AD43" s="4"/>
      <c r="AN43" s="4"/>
    </row>
    <row r="44" spans="26:40">
      <c r="Z44" s="3"/>
      <c r="AD44" s="4"/>
      <c r="AN44" s="4"/>
    </row>
    <row r="45" spans="26:40">
      <c r="Z45" s="3"/>
      <c r="AD45" s="4"/>
      <c r="AN45" s="4"/>
    </row>
    <row r="46" spans="26:40">
      <c r="Z46" s="3"/>
      <c r="AD46" s="4"/>
      <c r="AN46" s="4"/>
    </row>
    <row r="47" spans="26:40">
      <c r="Z47" s="3"/>
      <c r="AD47" s="4"/>
      <c r="AN47" s="4"/>
    </row>
    <row r="48" spans="26:40">
      <c r="Z48" s="3"/>
      <c r="AD48" s="4"/>
      <c r="AN48" s="4"/>
    </row>
    <row r="49" spans="26:40">
      <c r="Z49" s="3"/>
      <c r="AD49" s="4"/>
      <c r="AN49" s="4"/>
    </row>
    <row r="50" spans="26:40">
      <c r="Z50" s="3"/>
      <c r="AD50" s="4"/>
      <c r="AN50" s="4"/>
    </row>
    <row r="51" spans="26:40">
      <c r="Z51" s="3"/>
      <c r="AD51" s="4"/>
      <c r="AN51" s="4"/>
    </row>
    <row r="52" spans="26:40">
      <c r="Z52" s="3"/>
      <c r="AD52" s="4"/>
      <c r="AN52" s="4"/>
    </row>
    <row r="53" spans="26:40">
      <c r="Z53" s="3"/>
      <c r="AD53" s="4"/>
      <c r="AN53" s="4"/>
    </row>
    <row r="54" spans="26:40">
      <c r="Z54" s="3"/>
      <c r="AD54" s="4"/>
      <c r="AN54" s="4"/>
    </row>
    <row r="55" spans="26:40">
      <c r="Z55" s="3"/>
      <c r="AD55" s="4"/>
      <c r="AN55" s="4"/>
    </row>
    <row r="56" spans="26:40">
      <c r="Z56" s="3"/>
      <c r="AD56" s="4"/>
      <c r="AN56" s="4"/>
    </row>
    <row r="57" spans="26:40">
      <c r="Z57" s="3"/>
      <c r="AD57" s="4"/>
      <c r="AN57" s="4"/>
    </row>
    <row r="58" spans="26:40">
      <c r="Z58" s="3"/>
      <c r="AD58" s="4"/>
      <c r="AN58" s="4"/>
    </row>
    <row r="59" spans="26:40">
      <c r="Z59" s="3"/>
      <c r="AD59" s="4"/>
      <c r="AN59" s="4"/>
    </row>
    <row r="60" spans="26:40">
      <c r="Z60" s="3"/>
      <c r="AD60" s="4"/>
      <c r="AN60" s="4"/>
    </row>
    <row r="61" spans="26:40">
      <c r="Z61" s="3"/>
      <c r="AD61" s="4"/>
      <c r="AN61" s="4"/>
    </row>
    <row r="62" spans="26:40">
      <c r="Z62" s="3"/>
      <c r="AD62" s="4"/>
      <c r="AN62" s="4"/>
    </row>
    <row r="63" spans="26:40">
      <c r="Z63" s="3"/>
      <c r="AD63" s="4"/>
      <c r="AN63" s="4"/>
    </row>
    <row r="64" spans="26:40">
      <c r="Z64" s="3"/>
      <c r="AD64" s="4"/>
      <c r="AN64" s="4"/>
    </row>
    <row r="65" spans="26:40">
      <c r="Z65" s="3"/>
      <c r="AD65" s="4"/>
      <c r="AN65" s="4"/>
    </row>
    <row r="66" spans="26:40">
      <c r="Z66" s="3"/>
      <c r="AD66" s="4"/>
      <c r="AN66" s="4"/>
    </row>
    <row r="67" spans="26:40">
      <c r="Z67" s="3"/>
      <c r="AD67" s="4"/>
      <c r="AN67" s="4"/>
    </row>
    <row r="68" spans="26:40">
      <c r="Z68" s="3"/>
      <c r="AD68" s="4"/>
      <c r="AN68" s="4"/>
    </row>
    <row r="69" spans="26:40">
      <c r="Z69" s="3"/>
      <c r="AD69" s="4"/>
      <c r="AN69" s="4"/>
    </row>
    <row r="70" spans="26:40">
      <c r="Z70" s="3"/>
      <c r="AD70" s="4"/>
      <c r="AN70" s="4"/>
    </row>
    <row r="71" spans="26:40">
      <c r="Z71" s="3"/>
      <c r="AD71" s="4"/>
      <c r="AN71" s="4"/>
    </row>
    <row r="72" spans="26:40">
      <c r="Z72" s="3"/>
      <c r="AD72" s="4"/>
      <c r="AN72" s="4"/>
    </row>
    <row r="73" spans="26:40">
      <c r="Z73" s="3"/>
      <c r="AD73" s="4"/>
      <c r="AN73" s="4"/>
    </row>
    <row r="74" spans="26:40">
      <c r="Z74" s="3"/>
      <c r="AD74" s="4"/>
      <c r="AN74" s="4"/>
    </row>
    <row r="75" spans="26:40">
      <c r="Z75" s="3"/>
      <c r="AD75" s="4"/>
      <c r="AN75" s="4"/>
    </row>
    <row r="76" spans="26:40">
      <c r="Z76" s="3"/>
      <c r="AD76" s="4"/>
      <c r="AN76" s="4"/>
    </row>
    <row r="77" spans="26:40">
      <c r="Z77" s="3"/>
      <c r="AD77" s="4"/>
      <c r="AN77" s="4"/>
    </row>
    <row r="78" spans="26:40">
      <c r="Z78" s="3"/>
      <c r="AD78" s="4"/>
      <c r="AN78" s="4"/>
    </row>
    <row r="79" spans="26:40">
      <c r="Z79" s="3"/>
      <c r="AD79" s="4"/>
      <c r="AN79" s="4"/>
    </row>
    <row r="80" spans="26:40">
      <c r="Z80" s="3"/>
      <c r="AD80" s="4"/>
      <c r="AN80" s="4"/>
    </row>
    <row r="81" spans="26:40">
      <c r="Z81" s="3"/>
      <c r="AD81" s="4"/>
      <c r="AN81" s="4"/>
    </row>
    <row r="82" spans="26:40">
      <c r="Z82" s="3"/>
      <c r="AD82" s="4"/>
      <c r="AN82" s="4"/>
    </row>
    <row r="83" spans="26:40">
      <c r="Z83" s="3"/>
      <c r="AD83" s="4"/>
      <c r="AN83" s="4"/>
    </row>
    <row r="84" spans="26:40">
      <c r="Z84" s="3"/>
      <c r="AD84" s="4"/>
      <c r="AN84" s="4"/>
    </row>
    <row r="85" spans="26:40">
      <c r="Z85" s="3"/>
      <c r="AD85" s="4"/>
      <c r="AN85" s="4"/>
    </row>
    <row r="86" spans="26:40">
      <c r="Z86" s="3"/>
      <c r="AD86" s="4"/>
      <c r="AN86" s="4"/>
    </row>
    <row r="87" spans="26:40">
      <c r="Z87" s="3"/>
      <c r="AD87" s="4"/>
      <c r="AN87" s="4"/>
    </row>
    <row r="88" spans="26:40">
      <c r="Z88" s="3"/>
      <c r="AD88" s="4"/>
      <c r="AN88" s="4"/>
    </row>
    <row r="89" spans="26:40">
      <c r="Z89" s="3"/>
      <c r="AD89" s="4"/>
      <c r="AN89" s="4"/>
    </row>
    <row r="90" spans="26:40">
      <c r="Z90" s="3"/>
      <c r="AD90" s="4"/>
      <c r="AN90" s="4"/>
    </row>
    <row r="91" spans="26:40">
      <c r="Z91" s="3"/>
      <c r="AD91" s="4"/>
      <c r="AN91" s="4"/>
    </row>
    <row r="92" spans="26:40">
      <c r="Z92" s="3"/>
      <c r="AD92" s="4"/>
      <c r="AN92" s="4"/>
    </row>
    <row r="93" spans="26:40">
      <c r="Z93" s="3"/>
      <c r="AD93" s="4"/>
      <c r="AN93" s="4"/>
    </row>
    <row r="94" spans="26:40">
      <c r="Z94" s="3"/>
      <c r="AD94" s="4"/>
      <c r="AN94" s="4"/>
    </row>
    <row r="95" spans="26:40">
      <c r="Z95" s="3"/>
      <c r="AD95" s="4"/>
      <c r="AN95" s="4"/>
    </row>
    <row r="96" spans="26:40">
      <c r="Z96" s="3"/>
      <c r="AD96" s="4"/>
      <c r="AN96" s="4"/>
    </row>
    <row r="97" spans="26:40">
      <c r="Z97" s="3"/>
      <c r="AD97" s="4"/>
      <c r="AN97" s="4"/>
    </row>
    <row r="98" spans="26:40">
      <c r="Z98" s="3"/>
      <c r="AD98" s="4"/>
      <c r="AN98" s="4"/>
    </row>
    <row r="99" spans="26:40">
      <c r="Z99" s="3"/>
      <c r="AD99" s="4"/>
      <c r="AN99" s="4"/>
    </row>
    <row r="100" spans="26:40">
      <c r="Z100" s="3"/>
      <c r="AD100" s="4"/>
      <c r="AN100" s="4"/>
    </row>
    <row r="101" spans="26:40">
      <c r="Z101" s="3"/>
      <c r="AD101" s="4"/>
      <c r="AN101" s="4"/>
    </row>
    <row r="102" spans="26:40">
      <c r="Z102" s="3"/>
      <c r="AD102" s="4"/>
      <c r="AN102" s="4"/>
    </row>
    <row r="103" spans="26:40">
      <c r="Z103" s="3"/>
      <c r="AD103" s="4"/>
      <c r="AN103" s="4"/>
    </row>
    <row r="104" spans="26:40">
      <c r="Z104" s="3"/>
      <c r="AD104" s="4"/>
      <c r="AN104" s="4"/>
    </row>
    <row r="105" spans="26:40">
      <c r="Z105" s="3"/>
      <c r="AD105" s="4"/>
      <c r="AN105" s="4"/>
    </row>
    <row r="106" spans="26:40">
      <c r="Z106" s="3"/>
      <c r="AD106" s="4"/>
      <c r="AN106" s="4"/>
    </row>
    <row r="107" spans="26:40">
      <c r="Z107" s="3"/>
      <c r="AD107" s="4"/>
      <c r="AN107" s="4"/>
    </row>
    <row r="108" spans="26:40">
      <c r="Z108" s="3"/>
      <c r="AD108" s="4"/>
      <c r="AN108" s="4"/>
    </row>
    <row r="109" spans="26:40">
      <c r="Z109" s="3"/>
      <c r="AD109" s="4"/>
      <c r="AN109" s="4"/>
    </row>
    <row r="110" spans="26:40">
      <c r="Z110" s="3"/>
      <c r="AD110" s="4"/>
      <c r="AN110" s="4"/>
    </row>
    <row r="111" spans="26:40">
      <c r="Z111" s="3"/>
      <c r="AD111" s="4"/>
      <c r="AN111" s="4"/>
    </row>
    <row r="112" spans="26:40">
      <c r="Z112" s="3"/>
      <c r="AD112" s="4"/>
      <c r="AN112" s="4"/>
    </row>
    <row r="113" spans="26:40">
      <c r="Z113" s="3"/>
      <c r="AD113" s="4"/>
      <c r="AN113" s="4"/>
    </row>
    <row r="114" spans="26:40">
      <c r="Z114" s="3"/>
      <c r="AD114" s="4"/>
      <c r="AN114" s="4"/>
    </row>
    <row r="115" spans="26:40">
      <c r="Z115" s="3"/>
      <c r="AD115" s="4"/>
      <c r="AN115" s="4"/>
    </row>
    <row r="116" spans="26:40">
      <c r="Z116" s="3"/>
      <c r="AD116" s="4"/>
      <c r="AN116" s="4"/>
    </row>
    <row r="117" spans="26:40">
      <c r="Z117" s="3"/>
      <c r="AD117" s="4"/>
      <c r="AN117" s="4"/>
    </row>
    <row r="118" spans="26:40">
      <c r="Z118" s="3"/>
      <c r="AD118" s="4"/>
      <c r="AN118" s="4"/>
    </row>
    <row r="119" spans="26:40">
      <c r="Z119" s="3"/>
      <c r="AD119" s="4"/>
      <c r="AN119" s="4"/>
    </row>
    <row r="120" spans="26:40">
      <c r="Z120" s="3"/>
      <c r="AD120" s="4"/>
      <c r="AN120" s="4"/>
    </row>
    <row r="121" spans="26:40">
      <c r="Z121" s="3"/>
      <c r="AD121" s="4"/>
      <c r="AN121" s="4"/>
    </row>
    <row r="122" spans="26:40">
      <c r="Z122" s="3"/>
      <c r="AD122" s="4"/>
      <c r="AN122" s="4"/>
    </row>
    <row r="123" spans="26:40">
      <c r="Z123" s="3"/>
      <c r="AD123" s="4"/>
      <c r="AN123" s="4"/>
    </row>
    <row r="124" spans="26:40">
      <c r="Z124" s="3"/>
      <c r="AD124" s="4"/>
      <c r="AN124" s="4"/>
    </row>
    <row r="125" spans="26:40">
      <c r="Z125" s="3"/>
      <c r="AD125" s="4"/>
      <c r="AN125" s="4"/>
    </row>
    <row r="126" spans="26:40">
      <c r="Z126" s="3"/>
      <c r="AD126" s="4"/>
      <c r="AN126" s="4"/>
    </row>
    <row r="127" spans="26:40">
      <c r="Z127" s="3"/>
      <c r="AD127" s="4"/>
      <c r="AN127" s="4"/>
    </row>
    <row r="128" spans="26:40">
      <c r="Z128" s="3"/>
      <c r="AD128" s="4"/>
      <c r="AN128" s="4"/>
    </row>
    <row r="129" spans="26:40">
      <c r="Z129" s="3"/>
      <c r="AD129" s="4"/>
      <c r="AN129" s="4"/>
    </row>
  </sheetData>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tabSelected="1"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8" t="s">
        <v>2</v>
      </c>
      <c r="B1" s="9" t="s">
        <v>52</v>
      </c>
      <c r="C1" s="10" t="s">
        <v>35</v>
      </c>
      <c r="E1" s="35" t="s">
        <v>76</v>
      </c>
      <c r="F1" s="36"/>
      <c r="G1" s="36"/>
      <c r="H1" s="36"/>
      <c r="I1" s="37"/>
      <c r="J1" s="16"/>
      <c r="K1" s="34" t="s">
        <v>3</v>
      </c>
      <c r="L1" s="34"/>
      <c r="M1" s="34"/>
      <c r="N1" s="34"/>
      <c r="O1" s="34"/>
      <c r="P1" s="34"/>
      <c r="Q1" s="34"/>
      <c r="R1" s="13"/>
      <c r="S1" s="34" t="s">
        <v>4</v>
      </c>
      <c r="T1" s="34"/>
      <c r="U1" s="34"/>
      <c r="V1" s="34"/>
      <c r="W1" s="34"/>
      <c r="X1" s="13"/>
      <c r="Y1" s="34" t="s">
        <v>54</v>
      </c>
      <c r="Z1" s="34"/>
      <c r="AA1" s="34"/>
      <c r="AB1" s="34"/>
      <c r="AC1" s="34"/>
      <c r="AD1" s="34"/>
      <c r="AE1" s="34"/>
      <c r="AF1" s="34"/>
      <c r="AG1" s="34"/>
      <c r="AH1" s="34"/>
      <c r="AI1" s="34"/>
    </row>
    <row r="2" spans="1:35" ht="15" thickBot="1">
      <c r="A2" s="12" t="s">
        <v>50</v>
      </c>
      <c r="B2" s="12" t="s">
        <v>51</v>
      </c>
      <c r="C2" s="12" t="s">
        <v>1</v>
      </c>
      <c r="E2" s="14" t="s">
        <v>72</v>
      </c>
      <c r="F2" s="14" t="s">
        <v>75</v>
      </c>
      <c r="G2" s="14" t="s">
        <v>73</v>
      </c>
      <c r="H2" s="14" t="s">
        <v>74</v>
      </c>
      <c r="I2" s="14" t="s">
        <v>28</v>
      </c>
      <c r="J2" s="14"/>
      <c r="K2" s="14" t="s">
        <v>22</v>
      </c>
      <c r="L2" s="14" t="s">
        <v>67</v>
      </c>
      <c r="M2" s="14" t="s">
        <v>25</v>
      </c>
      <c r="N2" s="14" t="s">
        <v>68</v>
      </c>
      <c r="O2" s="14" t="s">
        <v>26</v>
      </c>
      <c r="P2" s="14" t="s">
        <v>27</v>
      </c>
      <c r="Q2" s="14" t="s">
        <v>66</v>
      </c>
      <c r="R2" s="14"/>
      <c r="S2" s="14" t="s">
        <v>23</v>
      </c>
      <c r="T2" s="14" t="s">
        <v>70</v>
      </c>
      <c r="U2" s="14" t="s">
        <v>69</v>
      </c>
      <c r="V2" s="14" t="s">
        <v>24</v>
      </c>
      <c r="W2" s="14" t="s">
        <v>71</v>
      </c>
      <c r="X2" s="14"/>
      <c r="Y2" s="14" t="s">
        <v>55</v>
      </c>
      <c r="Z2" s="14" t="s">
        <v>56</v>
      </c>
      <c r="AA2" s="14" t="s">
        <v>57</v>
      </c>
      <c r="AB2" s="14" t="s">
        <v>58</v>
      </c>
      <c r="AC2" s="14" t="s">
        <v>59</v>
      </c>
      <c r="AD2" s="14" t="s">
        <v>60</v>
      </c>
      <c r="AE2" s="14" t="s">
        <v>61</v>
      </c>
      <c r="AF2" s="14" t="s">
        <v>62</v>
      </c>
      <c r="AG2" s="14" t="s">
        <v>63</v>
      </c>
      <c r="AH2" s="14" t="s">
        <v>64</v>
      </c>
      <c r="AI2" s="14" t="s">
        <v>65</v>
      </c>
    </row>
    <row r="3" spans="1:35" ht="15" thickBot="1">
      <c r="A3" s="17"/>
      <c r="C3" s="11" t="s">
        <v>37</v>
      </c>
      <c r="E3" s="15">
        <f>SUMIF('Card Data'!$A:$A,$A3,'Card Data'!$D:$D)</f>
        <v>0</v>
      </c>
      <c r="F3" s="15">
        <f>COUNTIFS('Card Data'!$H:$H,K$2,'Card Data'!$A:$A,$A3)</f>
        <v>0</v>
      </c>
      <c r="G3" s="15">
        <f>SUMIFS('Card Data'!$D:$D,'Card Data'!$A:$A,$A3,'Card Data'!$I:$I,"&lt;&gt;",'Card Data'!$H:$H,"&lt;&gt;Hero")</f>
        <v>0</v>
      </c>
      <c r="H3" s="15">
        <f>SUMIFS('Card Data'!$D:$D,'Card Data'!$A:$A,$A3,'Card Data'!$I:$I,"")-I3</f>
        <v>0</v>
      </c>
      <c r="I3" s="15">
        <f>COUNTIFS('Card Data'!$H:$H,I$2,'Card Data'!$A:$A,$A3,'Card Data'!$J:$J,"&lt;&gt;*Side Quest.*")</f>
        <v>0</v>
      </c>
      <c r="J3" s="15"/>
      <c r="K3" s="15">
        <f>COUNTIFS('Card Data'!$H:$H,K$2,'Card Data'!$A:$A,$A3)</f>
        <v>0</v>
      </c>
      <c r="L3" s="15">
        <f>COUNTIFS('Card Data'!$H:$H,L$2,'Card Data'!$A:$A,$A3)</f>
        <v>0</v>
      </c>
      <c r="M3" s="15">
        <f>COUNTIFS('Card Data'!$H:$H,M$2,'Card Data'!$A:$A,$A3)</f>
        <v>0</v>
      </c>
      <c r="N3" s="15">
        <f>COUNTIFS('Card Data'!$H:$H,N$2,'Card Data'!$A:$A,$A3)</f>
        <v>0</v>
      </c>
      <c r="O3" s="15">
        <f>COUNTIFS('Card Data'!$H:$H,O$2,'Card Data'!$A:$A,$A3)</f>
        <v>0</v>
      </c>
      <c r="P3" s="15">
        <f>COUNTIFS('Card Data'!$H:$H,P$2,'Card Data'!$A:$A,$A3)</f>
        <v>0</v>
      </c>
      <c r="Q3" s="15">
        <f>COUNTIFS('Card Data'!$H:$H,Q$2,'Card Data'!$A:$A,$A3)</f>
        <v>0</v>
      </c>
      <c r="R3" s="15"/>
      <c r="S3" s="15">
        <f>COUNTIFS('Card Data'!$I:$I,S$2,'Card Data'!$A:$A,$A3)</f>
        <v>0</v>
      </c>
      <c r="T3" s="15">
        <f>COUNTIFS('Card Data'!$I:$I,T$2,'Card Data'!$A:$A,$A3)</f>
        <v>0</v>
      </c>
      <c r="U3" s="15">
        <f>COUNTIFS('Card Data'!$I:$I,U$2,'Card Data'!$A:$A,$A3)</f>
        <v>0</v>
      </c>
      <c r="V3" s="15">
        <f>COUNTIFS('Card Data'!$I:$I,V$2,'Card Data'!$A:$A,$A3)</f>
        <v>0</v>
      </c>
      <c r="W3" s="15">
        <f>COUNTIFS('Card Data'!$I:$I,W$2,'Card Data'!$A:$A,$A3)</f>
        <v>0</v>
      </c>
      <c r="X3" s="15"/>
      <c r="Y3" s="15" t="str">
        <f>IF(COUNTIFS('Card Data'!$J:$J,"*"&amp;Y$2&amp;".*",'Card Data'!$A:$A,$A3)=0,"",IF(COUNTIFS('Card Data'!$J:$J,"*"&amp;Y$2&amp;".*",'Card Data'!$A:$A,$A3,'Card Data'!$H:$H,"Hero")=0,COUNTIFS('Card Data'!$J:$J,"*"&amp;Y$2&amp;".*",'Card Data'!$A:$A,$A3),COUNTIFS('Card Data'!$J:$J,"*"&amp;Y$2&amp;".*",'Card Data'!$A:$A,$A3)&amp;" ("&amp;COUNTIFS('Card Data'!$J:$J,"*"&amp;Y$2&amp;".*",'Card Data'!$A:$A,$A3,'Card Data'!$H:$H,"Hero")&amp;")"))</f>
        <v/>
      </c>
      <c r="Z3" s="15" t="str">
        <f>IF(COUNTIFS('Card Data'!$J:$J,"*"&amp;Z$2&amp;".*",'Card Data'!$A:$A,$A3)=0,"",IF(COUNTIFS('Card Data'!$J:$J,"*"&amp;Z$2&amp;".*",'Card Data'!$A:$A,$A3,'Card Data'!$H:$H,"Hero")=0,COUNTIFS('Card Data'!$J:$J,"*"&amp;Z$2&amp;".*",'Card Data'!$A:$A,$A3),COUNTIFS('Card Data'!$J:$J,"*"&amp;Z$2&amp;".*",'Card Data'!$A:$A,$A3)&amp;" ("&amp;COUNTIFS('Card Data'!$J:$J,"*"&amp;Z$2&amp;".*",'Card Data'!$A:$A,$A3,'Card Data'!$H:$H,"Hero")&amp;")"))</f>
        <v/>
      </c>
      <c r="AA3" s="15" t="str">
        <f>IF(COUNTIFS('Card Data'!$J:$J,"*"&amp;AA$2&amp;".*",'Card Data'!$A:$A,$A3)=0,"",IF(COUNTIFS('Card Data'!$J:$J,"*"&amp;AA$2&amp;".*",'Card Data'!$A:$A,$A3,'Card Data'!$H:$H,"Hero")=0,COUNTIFS('Card Data'!$J:$J,"*"&amp;AA$2&amp;".*",'Card Data'!$A:$A,$A3),COUNTIFS('Card Data'!$J:$J,"*"&amp;AA$2&amp;".*",'Card Data'!$A:$A,$A3)&amp;" ("&amp;COUNTIFS('Card Data'!$J:$J,"*"&amp;AA$2&amp;".*",'Card Data'!$A:$A,$A3,'Card Data'!$H:$H,"Hero")&amp;")"))</f>
        <v/>
      </c>
      <c r="AB3" s="15" t="str">
        <f>IF(COUNTIFS('Card Data'!$J:$J,"*"&amp;AB$2&amp;".*",'Card Data'!$A:$A,$A3)=0,"",IF(COUNTIFS('Card Data'!$J:$J,"*"&amp;AB$2&amp;".*",'Card Data'!$A:$A,$A3,'Card Data'!$H:$H,"Hero")=0,COUNTIFS('Card Data'!$J:$J,"*"&amp;AB$2&amp;".*",'Card Data'!$A:$A,$A3),COUNTIFS('Card Data'!$J:$J,"*"&amp;AB$2&amp;".*",'Card Data'!$A:$A,$A3)&amp;" ("&amp;COUNTIFS('Card Data'!$J:$J,"*"&amp;AB$2&amp;".*",'Card Data'!$A:$A,$A3,'Card Data'!$H:$H,"Hero")&amp;")"))</f>
        <v/>
      </c>
      <c r="AC3" s="15" t="str">
        <f>IF(COUNTIFS('Card Data'!$J:$J,"*"&amp;AC$2&amp;".*",'Card Data'!$A:$A,$A3)=0,"",IF(COUNTIFS('Card Data'!$J:$J,"*"&amp;AC$2&amp;".*",'Card Data'!$A:$A,$A3,'Card Data'!$H:$H,"Hero")=0,COUNTIFS('Card Data'!$J:$J,"*"&amp;AC$2&amp;".*",'Card Data'!$A:$A,$A3),COUNTIFS('Card Data'!$J:$J,"*"&amp;AC$2&amp;".*",'Card Data'!$A:$A,$A3)&amp;" ("&amp;COUNTIFS('Card Data'!$J:$J,"*"&amp;AC$2&amp;".*",'Card Data'!$A:$A,$A3,'Card Data'!$H:$H,"Hero")&amp;")"))</f>
        <v/>
      </c>
      <c r="AD3" s="15" t="str">
        <f>IF(COUNTIFS('Card Data'!$J:$J,"*"&amp;AD$2&amp;".*",'Card Data'!$A:$A,$A3)=0,"",IF(COUNTIFS('Card Data'!$J:$J,"*"&amp;AD$2&amp;".*",'Card Data'!$A:$A,$A3,'Card Data'!$H:$H,"Hero")=0,COUNTIFS('Card Data'!$J:$J,"*"&amp;AD$2&amp;".*",'Card Data'!$A:$A,$A3),COUNTIFS('Card Data'!$J:$J,"*"&amp;AD$2&amp;".*",'Card Data'!$A:$A,$A3)&amp;" ("&amp;COUNTIFS('Card Data'!$J:$J,"*"&amp;AD$2&amp;".*",'Card Data'!$A:$A,$A3,'Card Data'!$H:$H,"Hero")&amp;")"))</f>
        <v/>
      </c>
      <c r="AE3" s="15" t="str">
        <f>IF(COUNTIFS('Card Data'!$J:$J,"*"&amp;AE$2&amp;".*",'Card Data'!$A:$A,$A3)=0,"",IF(COUNTIFS('Card Data'!$J:$J,"*"&amp;AE$2&amp;".*",'Card Data'!$A:$A,$A3,'Card Data'!$H:$H,"Hero")=0,COUNTIFS('Card Data'!$J:$J,"*"&amp;AE$2&amp;".*",'Card Data'!$A:$A,$A3),COUNTIFS('Card Data'!$J:$J,"*"&amp;AE$2&amp;".*",'Card Data'!$A:$A,$A3)&amp;" ("&amp;COUNTIFS('Card Data'!$J:$J,"*"&amp;AE$2&amp;".*",'Card Data'!$A:$A,$A3,'Card Data'!$H:$H,"Hero")&amp;")"))</f>
        <v/>
      </c>
      <c r="AF3" s="15" t="str">
        <f>IF(COUNTIFS('Card Data'!$J:$J,"*"&amp;AF$2&amp;".*",'Card Data'!$A:$A,$A3)=0,"",IF(COUNTIFS('Card Data'!$J:$J,"*"&amp;AF$2&amp;".*",'Card Data'!$A:$A,$A3,'Card Data'!$H:$H,"Hero")=0,COUNTIFS('Card Data'!$J:$J,"*"&amp;AF$2&amp;".*",'Card Data'!$A:$A,$A3),COUNTIFS('Card Data'!$J:$J,"*"&amp;AF$2&amp;".*",'Card Data'!$A:$A,$A3)&amp;" ("&amp;COUNTIFS('Card Data'!$J:$J,"*"&amp;AF$2&amp;".*",'Card Data'!$A:$A,$A3,'Card Data'!$H:$H,"Hero")&amp;")"))</f>
        <v/>
      </c>
      <c r="AG3" s="15" t="str">
        <f>IF(COUNTIFS('Card Data'!$J:$J,"*"&amp;AG$2&amp;".*",'Card Data'!$A:$A,$A3)=0,"",IF(COUNTIFS('Card Data'!$J:$J,"*"&amp;AG$2&amp;".*",'Card Data'!$A:$A,$A3,'Card Data'!$H:$H,"Hero")=0,COUNTIFS('Card Data'!$J:$J,"*"&amp;AG$2&amp;".*",'Card Data'!$A:$A,$A3),COUNTIFS('Card Data'!$J:$J,"*"&amp;AG$2&amp;".*",'Card Data'!$A:$A,$A3)&amp;" ("&amp;COUNTIFS('Card Data'!$J:$J,"*"&amp;AG$2&amp;".*",'Card Data'!$A:$A,$A3,'Card Data'!$H:$H,"Hero")&amp;")"))</f>
        <v/>
      </c>
      <c r="AH3" s="15" t="str">
        <f>IF(COUNTIFS('Card Data'!$J:$J,"*"&amp;AH$2&amp;".*",'Card Data'!$A:$A,$A3)=0,"",IF(COUNTIFS('Card Data'!$J:$J,"*"&amp;AH$2&amp;".*",'Card Data'!$A:$A,$A3,'Card Data'!$H:$H,"Hero")=0,COUNTIFS('Card Data'!$J:$J,"*"&amp;AH$2&amp;".*",'Card Data'!$A:$A,$A3),COUNTIFS('Card Data'!$J:$J,"*"&amp;AH$2&amp;".*",'Card Data'!$A:$A,$A3)&amp;" ("&amp;COUNTIFS('Card Data'!$J:$J,"*"&amp;AH$2&amp;".*",'Card Data'!$A:$A,$A3,'Card Data'!$H:$H,"Hero")&amp;")"))</f>
        <v/>
      </c>
      <c r="AI3" s="15" t="str">
        <f>IF(COUNTIFS('Card Data'!$J:$J,"*"&amp;AI$2&amp;".*",'Card Data'!$A:$A,$A3)=0,"",IF(COUNTIFS('Card Data'!$J:$J,"*"&amp;AI$2&amp;".*",'Card Data'!$A:$A,$A3,'Card Data'!$H:$H,"Hero")=0,COUNTIFS('Card Data'!$J:$J,"*"&amp;AI$2&amp;".*",'Card Data'!$A:$A,$A3),COUNTIFS('Card Data'!$J:$J,"*"&amp;AI$2&amp;".*",'Card Data'!$A:$A,$A3)&amp;" ("&amp;COUNTIFS('Card Data'!$J:$J,"*"&amp;AI$2&amp;".*",'Card Data'!$A:$A,$A3,'Card Data'!$H:$H,"Hero")&amp;")"))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Z1"/>
  <sheetViews>
    <sheetView zoomScaleNormal="100" workbookViewId="0">
      <pane xSplit="6" ySplit="1" topLeftCell="G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26" customWidth="1" outlineLevel="1"/>
    <col min="2" max="2" width="21.69140625" style="26" customWidth="1" outlineLevel="1"/>
    <col min="3" max="3" width="6" style="26" customWidth="1" outlineLevel="1"/>
    <col min="4" max="4" width="3.15234375" style="26" customWidth="1" outlineLevel="1"/>
    <col min="5" max="5" width="33.53515625" style="26" customWidth="1" outlineLevel="1"/>
    <col min="6" max="6" width="23.3828125" style="26" customWidth="1"/>
    <col min="7" max="7" width="3.15234375" style="26" bestFit="1" customWidth="1"/>
    <col min="8" max="8" width="11.3828125" style="26" customWidth="1"/>
    <col min="9" max="9" width="13.69140625" style="26" customWidth="1"/>
    <col min="10" max="10" width="26.53515625" style="26" customWidth="1"/>
    <col min="11" max="11" width="31" style="26" customWidth="1"/>
    <col min="12" max="12" width="3.15234375" style="26" bestFit="1" customWidth="1"/>
    <col min="13" max="13" width="3.15234375" style="27" bestFit="1" customWidth="1"/>
    <col min="14" max="14" width="3.15234375" style="28" bestFit="1" customWidth="1"/>
    <col min="15" max="15" width="3.15234375" style="29" bestFit="1" customWidth="1"/>
    <col min="16" max="16" width="3.15234375" style="30" bestFit="1" customWidth="1"/>
    <col min="17" max="17" width="3.15234375" style="31" bestFit="1" customWidth="1"/>
    <col min="18" max="18" width="3.15234375" style="32" bestFit="1" customWidth="1"/>
    <col min="19" max="19" width="3.15234375" style="33" bestFit="1" customWidth="1"/>
    <col min="20" max="20" width="3.15234375" style="26" bestFit="1" customWidth="1"/>
    <col min="21" max="21" width="58.84375" style="26" customWidth="1"/>
    <col min="22" max="22" width="45.3046875" style="26" customWidth="1"/>
    <col min="23" max="23" width="29.84375" style="26" customWidth="1"/>
    <col min="24" max="24" width="12.69140625" style="26" customWidth="1"/>
    <col min="25" max="25" width="6.61328125" style="26" customWidth="1"/>
    <col min="26" max="26" width="6.3046875" style="26" customWidth="1"/>
    <col min="27" max="27" width="5.765625" style="26" customWidth="1"/>
    <col min="28" max="28" width="32" style="26" customWidth="1"/>
    <col min="29" max="29" width="3.15234375" style="26" customWidth="1"/>
    <col min="30" max="30" width="8.69140625" style="26" bestFit="1" customWidth="1"/>
    <col min="31" max="31" width="8.53515625" style="26" customWidth="1" outlineLevel="1"/>
    <col min="32" max="32" width="24.3828125" style="26" customWidth="1" outlineLevel="1"/>
    <col min="33" max="33" width="28.84375" style="26" customWidth="1" outlineLevel="1"/>
    <col min="34" max="34" width="3.15234375" style="26" customWidth="1"/>
    <col min="35" max="35" width="3.15234375" style="27" customWidth="1"/>
    <col min="36" max="36" width="3.15234375" style="28" customWidth="1" outlineLevel="1"/>
    <col min="37" max="37" width="3.15234375" style="29" customWidth="1" outlineLevel="1"/>
    <col min="38" max="38" width="3.15234375" style="30" customWidth="1" outlineLevel="1"/>
    <col min="39" max="39" width="3.15234375" style="31" customWidth="1" outlineLevel="1"/>
    <col min="40" max="40" width="3.15234375" style="32" customWidth="1" outlineLevel="1"/>
    <col min="41" max="41" width="8.3828125" style="33" bestFit="1" customWidth="1"/>
    <col min="42" max="42" width="3.53515625" style="26" bestFit="1" customWidth="1"/>
    <col min="43" max="43" width="62" style="26" customWidth="1"/>
    <col min="44" max="45" width="45.3046875" style="26" customWidth="1" outlineLevel="1"/>
    <col min="46" max="46" width="12.69140625" style="26" customWidth="1"/>
    <col min="47" max="47" width="7.15234375" style="26" customWidth="1"/>
    <col min="48" max="48" width="6.61328125" style="26" customWidth="1"/>
    <col min="49" max="49" width="6.53515625" style="26" customWidth="1"/>
    <col min="50" max="50" width="12.69140625" style="26" customWidth="1" outlineLevel="1"/>
    <col min="51" max="52" width="20.53515625" style="26" customWidth="1"/>
    <col min="53" max="16384" width="9.15234375" style="26"/>
  </cols>
  <sheetData>
    <row r="1" spans="1:52" s="25" customFormat="1" ht="106.5" customHeight="1">
      <c r="A1" s="18" t="s">
        <v>29</v>
      </c>
      <c r="B1" s="18" t="s">
        <v>79</v>
      </c>
      <c r="C1" s="19" t="s">
        <v>34</v>
      </c>
      <c r="D1" s="19" t="s">
        <v>20</v>
      </c>
      <c r="E1" s="18" t="s">
        <v>19</v>
      </c>
      <c r="F1" s="18" t="s">
        <v>31</v>
      </c>
      <c r="G1" s="19" t="s">
        <v>7</v>
      </c>
      <c r="H1" s="18" t="s">
        <v>3</v>
      </c>
      <c r="I1" s="18" t="s">
        <v>4</v>
      </c>
      <c r="J1" s="18" t="s">
        <v>13</v>
      </c>
      <c r="K1" s="18" t="s">
        <v>16</v>
      </c>
      <c r="L1" s="19" t="s">
        <v>5</v>
      </c>
      <c r="M1" s="20" t="s">
        <v>6</v>
      </c>
      <c r="N1" s="20" t="s">
        <v>17</v>
      </c>
      <c r="O1" s="20" t="s">
        <v>11</v>
      </c>
      <c r="P1" s="20" t="s">
        <v>9</v>
      </c>
      <c r="Q1" s="20" t="s">
        <v>10</v>
      </c>
      <c r="R1" s="20" t="s">
        <v>12</v>
      </c>
      <c r="S1" s="20" t="s">
        <v>18</v>
      </c>
      <c r="T1" s="19" t="s">
        <v>21</v>
      </c>
      <c r="U1" s="18" t="s">
        <v>14</v>
      </c>
      <c r="V1" s="18" t="s">
        <v>15</v>
      </c>
      <c r="W1" s="18" t="s">
        <v>77</v>
      </c>
      <c r="X1" s="18" t="s">
        <v>78</v>
      </c>
      <c r="Y1" s="18" t="s">
        <v>83</v>
      </c>
      <c r="Z1" s="18" t="s">
        <v>84</v>
      </c>
      <c r="AA1" s="18" t="s">
        <v>85</v>
      </c>
      <c r="AB1" s="21" t="s">
        <v>32</v>
      </c>
      <c r="AC1" s="22" t="s">
        <v>7</v>
      </c>
      <c r="AD1" s="21" t="s">
        <v>3</v>
      </c>
      <c r="AE1" s="21" t="s">
        <v>4</v>
      </c>
      <c r="AF1" s="21" t="s">
        <v>13</v>
      </c>
      <c r="AG1" s="21" t="s">
        <v>16</v>
      </c>
      <c r="AH1" s="22" t="s">
        <v>5</v>
      </c>
      <c r="AI1" s="23" t="s">
        <v>6</v>
      </c>
      <c r="AJ1" s="23" t="s">
        <v>17</v>
      </c>
      <c r="AK1" s="23" t="s">
        <v>11</v>
      </c>
      <c r="AL1" s="23" t="s">
        <v>9</v>
      </c>
      <c r="AM1" s="23" t="s">
        <v>10</v>
      </c>
      <c r="AN1" s="23" t="s">
        <v>12</v>
      </c>
      <c r="AO1" s="23" t="s">
        <v>18</v>
      </c>
      <c r="AP1" s="22" t="s">
        <v>21</v>
      </c>
      <c r="AQ1" s="21" t="s">
        <v>14</v>
      </c>
      <c r="AR1" s="21" t="s">
        <v>15</v>
      </c>
      <c r="AS1" s="21" t="s">
        <v>77</v>
      </c>
      <c r="AT1" s="21" t="s">
        <v>78</v>
      </c>
      <c r="AU1" s="21" t="s">
        <v>83</v>
      </c>
      <c r="AV1" s="21" t="s">
        <v>84</v>
      </c>
      <c r="AW1" s="21" t="s">
        <v>85</v>
      </c>
      <c r="AX1" s="18" t="s">
        <v>81</v>
      </c>
      <c r="AY1" s="24" t="s">
        <v>82</v>
      </c>
      <c r="AZ1" s="24" t="s">
        <v>80</v>
      </c>
    </row>
  </sheetData>
  <sortState ref="A2:AP291">
    <sortCondition ref="C2:C291"/>
  </sortState>
  <conditionalFormatting sqref="I1:I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E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E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0</xdr:colOff>
                    <xdr:row>0</xdr:row>
                    <xdr:rowOff>190500</xdr:rowOff>
                  </from>
                  <to>
                    <xdr:col>0</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0</xdr:col>
                    <xdr:colOff>0</xdr:colOff>
                    <xdr:row>0</xdr:row>
                    <xdr:rowOff>174171</xdr:rowOff>
                  </from>
                  <to>
                    <xdr:col>0</xdr:col>
                    <xdr:colOff>0</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0</xdr:col>
                    <xdr:colOff>0</xdr:colOff>
                    <xdr:row>0</xdr:row>
                    <xdr:rowOff>174171</xdr:rowOff>
                  </from>
                  <to>
                    <xdr:col>0</xdr:col>
                    <xdr:colOff>0</xdr:colOff>
                    <xdr:row>0</xdr:row>
                    <xdr:rowOff>440871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IDS</vt:lpstr>
      <vt:lpstr>Imported Data</vt:lpstr>
      <vt:lpstr>Sets</vt:lpstr>
      <vt:lpstr>Card Data</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2020-10-27T17:04:12Z</dcterms:modified>
</cp:coreProperties>
</file>